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ugust2025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F11" i="1" s="1"/>
  <c r="C12" i="1"/>
  <c r="E9" i="1" s="1"/>
  <c r="H9" i="1" s="1"/>
  <c r="E10" i="1" l="1"/>
  <c r="H10" i="1" s="1"/>
  <c r="E11" i="1"/>
  <c r="H11" i="1" s="1"/>
  <c r="E7" i="1"/>
  <c r="H7" i="1" s="1"/>
  <c r="E8" i="1"/>
  <c r="H8" i="1" s="1"/>
  <c r="I11" i="1"/>
  <c r="F8" i="1"/>
  <c r="F9" i="1"/>
  <c r="F10" i="1"/>
  <c r="F7" i="1"/>
  <c r="G11" i="1" l="1"/>
  <c r="H12" i="1"/>
  <c r="G8" i="1"/>
  <c r="I8" i="1"/>
  <c r="G7" i="1"/>
  <c r="I7" i="1"/>
  <c r="G10" i="1"/>
  <c r="I10" i="1"/>
  <c r="G9" i="1"/>
  <c r="I9" i="1"/>
  <c r="I12" i="1" l="1"/>
  <c r="I13" i="1" s="1"/>
  <c r="G12" i="1"/>
  <c r="I14" i="1" l="1"/>
</calcChain>
</file>

<file path=xl/sharedStrings.xml><?xml version="1.0" encoding="utf-8"?>
<sst xmlns="http://schemas.openxmlformats.org/spreadsheetml/2006/main" count="10" uniqueCount="7">
  <si>
    <t>Sales</t>
  </si>
  <si>
    <t>Promotions</t>
  </si>
  <si>
    <t>X</t>
  </si>
  <si>
    <t>Y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</si>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</sst>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7</xdr:row>
      <xdr:rowOff>121920</xdr:rowOff>
    </xdr:to>
    <xdr:sp macro="" textlink="">
      <xdr:nvSpPr>
        <xdr:cNvPr id="1025" name="AutoShape 1" descr="data:image/png;base64,iVBORw0KGgoAAAANSUhEUgAAAbwAAABxCAMAAACZb+YzAAAAw1BMVEX///8AAD15gZTs7vEiP2dvepDK0NkzR2m/xtGQnK4AJVIUNmH09fcAIlD5+vsAH1Hg4ubX3OMAEEhsfJUTL1kAEEs/UHBIWHUAGkwMK1aYpLQAHU2Bj6QAF0qLlKamrbnl6OwgNlxbZ4DS1+AsRm2wt8PByNIAAENgb4lRYn6Bi52fqbkAK1l0g5oAFk0eO2Rtd4w7S2ovQmQAADQ5UnZKXn1CWXtdb4wAACxxeo5FVHGqtcREXH1VYnt6iqE6U3YAAEhIHpcNAAASa0lEQVR4nO1da3uquhJmFeUSEwRBJSIYqlhQUeup9Wzduz3//1cdbkKCXV0LtbsuH94vXCQXZ3KZmUwmHFejRo0aNWrUqFGjRo0aNWrUqFGjRo0aNb4AU3lQhkD/Lsjj76rahYAHmXx3Hb4YDjIMAy0zmIvoYVT8qr7iifDzxOdAUT9+z5PrlsNBue0Or5znrWEFcMNTMwg6wmbBvHnbHX2S9CyojdWQP3mrhcg/fXsheH35Sq6d6U1BABg1Yf6oI+vIL2UOelcYM6FKA3JkhsVSb1YOC9H5SY88v6AIjtnTLs32lqEMkWF7+SNv5D3Pc1fXmO+mP7oFnqSoRK+39Ogv4KAbXKEkjy5okZYwXK6v3qFvCeQR4FbePqHeyZin+p2rjJlkRCPpX9MGnlJfDEBwjf6hnhbEwS0YKFfI+2YhtQz0mD95/xkkV2WOX7+s0Y7sfjFKTsXu141tXvu+B07oWIY5OD7xXvpn1aAz/7o2+4KdY+Z809p9WTmRvGx7v/7qD4YWAOyS0sspML6wyXrd7XGWkxrLi2WVnwO+2QH5uuxvAJ6LwT/sKzjM/7T3PplMGjLkxvE1rDiWKnIjTnaI8oluGscebljZHZzZf6edUNvGX75ETQaukhKrFaQlibZRXt5LnE/W4TzTvutxk+MeMDZYWvE7M2eTtwJoTeKbjhFW7iWKYwAzHiThzDKco1Ki2w9p9lrfPspFWgOArRRzUtoi4MCPcvuknIMI0JZPkjdAY54lFxrL+x43OVXEoM80UDKxCup5bTCLiTLtNM+QYaCDzTmXcDGfWbm5nemQwmqZa33eEs3SXjjv7KqXJCNrnt4FKDy+1Lamc9fyJscdTAM80ORS25SlhZM7m6j5km1w1uyk+mBFov4woagodFqptuCZizxTpZH28GimAmd0F0lEenLDP+Ncb9QCS79z5nEBMAyJelY7JkU+6EeyvdJcfTx7KGPpBEy/Ge9tnVO3PqHyN60kfyibjeL10NokLNU2HzYTfnpaEPUzXCMjuTkYfv6S+FZQcQD+46C2cJtu7FrHpukyXlnNt/bxDS8faObAcCOW4LIGsIOLh+GWtqKQdto4+DeLsj9qmXFulIyznDKVp3SvGb+XyxEndDEDtxNXUQmXRVER817vnXncq/lIN3ZhyTCP8xYGzmes8bJHMwfqi1YJ7ZK5Swe4RxtVOLKwEtMHr1tbkr/lt1YzelJe0vzh0JzRrURolMtpLehMhWdLTy4US8na2t4784b2M0NcdtiMpQ0L5QwZW/2qC0UTxJrAIubJp8zjpkszyll6cpInOESzSnJLE2yi7x1avlTvf9gU2u6ceaEilnnTVxcvc0JCvqIMMMAuYiRVsjATAw4fWn+T4rXWsKPXu3zZAVaju+cao0hEobua+njvAgvpoRlLJiJatKKl9ZuHHtqmVOAJIdXoMV3JgwWm7dzETqVZOLReSPEaOuaEJ91M0I/KqagwiOiR8xhJdfxy56oCH6KgRCVeNynhEIaRVjY6znqHnR9Wslpo/R2nzDr0wDzugGROVeZmi55rpZYtvOF0ulV0PxhVI3xo7acPE2bybpj3raTPXVBeT1NG9mtBA9n1YlqiTUJVVe7uq8x5xH/VYku3Scn/I3uSslJCS7ohRGqZv3rMOCZtu3I15qlPbjCR6UHEazfu2jw27dmFbQxK0+S/T9so7yhznDiDkAXuJ0xWn/oVFk/hrJW0fW+BCvXrzcwEGEFkzVcyMKxDdq84VZnHvWLMSMJ8aF/fv+KGQPylXrRV9TUdLqO3w4xwUcdMmMcvMNjGJK/EPKLjVHGQouS54PduZ5Os6pshzSBpA1bHe1idebLFGkVJ466XhKDTfifFo9DR0yfvKF062HVxJLtPN67rGrHVvwrz4KvhupH8rxyibFwcZKV0G0eaDqwlTW2l2c3l3jOYx7cbtH6qyJ3zTHp/CKR2gxpnlOEys3HyTfvtJ0mqDZsfQbdycWjc79B9Q1kvcl6ew7wGo5Foq9Y9dzytAd4IfwTxDHQ0UAu9rvRxmouZp5qrgqYD3KI45LnU/FudeUOXrjPvV9Ty/yzAALn+7OEI38AonzOi6Uf6kHaXMo/3rTdIPS0LTYz4E1JUrjLzNOTT2qluhuSn3/75kC0j4lcOgA2rcLcStsD5SM6+kHn80HxkxrZJ4uKlDLxojkKU50wl5pGoqtDHlBejt106d9zvuDHqdkr4UayYcmQwKTvIxhC6+wuYpzURvTgUQX0B0egGNys5dOmflGHn960j2rI/9M23/HveMfzpXVs1FfUEGt1YFV47Fdak965Z2TJ9BB+6i3mZpnzY7s3JswmWzLrREHfQ8Hfpr7Ut6ymgX4zvmnVnQvMkySNnJib6CeuS128yP9f1A/Nbstr6u12PH+r69Nef1ahRQCGaFg9PUBsL5LsrU6Ma4GErrnac5oiLdkVvxRrfDjLfoK0QvIjA+plVowT+ZEPr4HDXy1Y3DPIPeNmNVM1/+k3maU9mCctJLVx9D/hHYMT2WNX7TQWKvA3LuO8F4xtGxLzGd9ehxpngH5F4xeyE//6ocQb+e9YSxJWZp/71UOMM/HWW3agy8+BYGLMQ7tpV45ZRmXnqS6+MXS2wfA9o5sEISnJROCV+iFQAJXuZQ21MGiX8XTPve0AxD056+95QUV72z4FKNvt9z1e5cWPfY7yiFP4U31HxGmzPU18TbzW168fmzoX5V8wV2BF/4pNQ47uhBoXDG6eJS4mD+iOJH+bdxKNGXTiXlhF7qX/QX2tQOMdIxcsuQiNyfJTchSa/p6MkWST7DR3x4hhBux9PT8tVeaasQaFVNVxCjOm62Wyuj47CnOLgbSNbWIRhZxAJLovZpbzjjI3v+80an2A9OGfPfdpp82e1b/aO91M7ULkDvrjjad2QqPW4+TmuYduX3lvGsR+qLxHj+pcHCRoa9+x+ejsYi3Opu8mkS2X0JB+sy0XNd7HWJf4FqP4QcvLy6GQ/Ft/Fvy/OlGD/1x/VuBRaEAeqUxZmvLc+Amki+3K3qAOI1wt5LfaWKdz8ogdCfaRA7doWUomZRxTive22jAPZaZUY50OOv77R9sDsyobaPNxt/avE0laD1ftB4Q6ieIzz5eHgcstXaMW1O4Bup9M+Lr53n7qdJyroGH8IVtf2oQmALhS1PyAjHDi97q7g3mh5UqVekZz3Ji12t/zlIA3kUPuy9c7zcD5zf1wjuijxJEmAnFCEovHwFYwrgZHs3/exYfheFlB0HhoYFKOppi8eru5jTEZBa5Bn+taJG4fQAAVD1LhKel6lpotx4TqrNRfN6dVttmNn0/PyXFtJ0JiB0foKmYBvbi/PdrxJ5dWxYeBiExR0jIJ5mo8Gl7NO0WiQ6I3abOdO6EIagXYPKFcdaYNxEeWaDw2QM28cNM7RvMpQmSoloeX6RehzL5HChYZx5Tj2HO+o3KBxBRl/tMja+sDGRrGVRBHzrcbEb18jOirp9Qv0EgrxEffYj3qAHp2HGFOBRMgeHZlHgvYVmhPHrfdFlfbpXCTsXXY4m7pXjy+q4t4jPsdmU8ZDl2R3LYyp3ZShnTEPOmZp+8d54HUaKYGEXoc9acNt0YTiRYyfiw/e8p73Zp4TZfAUQ7pKWbiBAWadhmTweo2iaPDAwvIVGp8avOe3TwbSc5poP7Lw0tpi9XWe/kOwoZ6g32VlEKFrUCF2JLDNaspuUb4u4OMypB6F5yW5fiHXmUWlTXG4h4yMTrGNS88GsJ19nVb+IcYbkBtu43iM5ZNGdEAfDxBmCyhbq/mFrqiy0SL5g9Bv3e6K25wKdsIHwDDL4zu/wFlvSBfvY6rB8vL970A5pmIW/x9R//gBlFcnq1uwB/CqLC/w7WNw1aJKR8+CSoD5H4FUck0EeRPW/Mnt2g7hDFDdaupiUNYcvXyxlwycCJGgAOfxlVQsSptFqYaRIE6G0fXogi+j58xeBOXGB7tdJQMjv/R6bh0thFqUlTOLST2N7+SKkoUX/6FhrHEc4sodi+/nBxKoa9G7XR8SrU9FWolkE2AsS5qvbh13KsPRxrYMKWKe5NoTr+pYSmZPyPYjvRw6y2VwbM8ecLNxU258NIcrjmmYpSr5aE/SO36GLNuPp2R1iK1W1dO5xlvTMh7ixiM8dOzeMSLWG9pncS/8W+YdJyHGfBDH4i8dNTOhDmKSxFS+IKJxhs0IDjooadxCtzA58QCnC5JeI4lXIAxKqbQtMBbsJtxecVQHWYMs/Cf/DN4qE1ptH8MijUGxtjIA2Zbt0E3eza+t510HyqAUvHQeDZzsKGWih+JhCJLZRl6eNYnzobmJ2KAEdNQBAJL8YasnCYIwfj+xko8ApZwn2YhAp37NQl5rokGqV2mHsklBsNd58mg0SPI8ID+qkjA3yg3qNkD8V7ZRK01QisVvA3qpfmvtNc5bnPlvtEkcGXjIhK9poWZ80W1s4AhtvZwIPiCDUd21DWWGEfrZsSdzfJLyd2rUTe1xikwFOhPSJgo3KKkTANe2oV4H2qoUTZMje8xwizeZR8VA/mGfBxktrTC/ddsl/I816kpuRx4wIasj5q3jS64qnxJK62NAa17aZkHZZWagk0ibfho+WuHZcK2hXa5Sl2mbKxS74nF8i4q3mzFPy+t0m2d0TtsngnAIRFonhyzzuCnGhSav2ssD/aMslp21RTZ/RTYWgF2eiJj3Kwk/BIyZQKB7Hudt7JjfnpuZaN3/sLECT/zHRaY9DexNPKONbGowiZh3w9uQSXZV5EZ5Lh6LC7bi7LAZURIVMg4vsswhwgkIkzg+1g2w8ryR9rxPMO0tGXpHij3VEUk/tngqTjvlr7ZllepfVUk1EsPthD75QwI3OstF0ObZYm6klfulYCr82tqxHaFNCyxxYFSAij86nZKKZUfiLGsdyQSWn0P1TVaIiQQW+sUQu2Nu3MvCR0NBqlQl3rcCwk2XtIH8KLDcHJSxs8c461xqaQiLFGWDOokiwYod1hzR6Ztlrfm3QfzHATsmEYA/P3wXDsF7qYVRqgIXD5RRDqOzQw57liFwO5cel2WwuU2TmDAJZOOoDYzKZ7tIm255HN1Z9IhyQHNuhFHaTg+636ykAvHhyzjS+umVrClwP5flPAOUKRmgPt2eIl6qfnZmoqevKy6BaKI5GBuMpPqGnm9zVxyvKtwryMinlyKFaS+nIb0OS2ovhITj2WaGUsWYfwNupSbqJQe2tuiTFBz0ucd3RNsTo1mUhu4oc7v3tshWHFUdL6vJhtAxX33ErJs8ouBnX38/hGV6DLOy+ouhC+/TYZczmZs3rXz2VvfJvgnyD8BJQ4duJeZ5aSx81aRW4wL0qRsOTE8yyauUVsNkBYoltvIjRLWeXVGwlwxsMSt2qggu3v7xhXgBq5joaoehgTKw6c1ijewU+/xAOygE9i7ZErhGqKdFNOerMA9OQRLBX9FawJ5l0xhtwf8IYWdLjWArlyTXvy1GyNkBnIcCVSszT3sEJiOfzF3jlgMYS20U9wGZJb1kuNRhBcrxHLupmR6gxY23kZIkx2F6XqObnVaReV6kBAZRe1B3kbK1yWJ/D4xPPX6nXXp+5N1N+vHUZsZNqVM0OnVflXncAIl05+d98xxbzb8GJUhmmpejcT4BEfGQIqTUyQQV+NBJtXI+VpLGcddJ1CW+IvPUOFE048Jpkjyhl7r99NRu7ZWJyD7HYvqk+EvaMqQ+hfnTGcybt5k6jNzWLXe8WA21ZAW2aXVJ8c1HmiAB+oekt1of/UQOr8S8j9KH6LP98tHPtFKibcFzdjtuuFSV6PDR1ZnHxD+ONdHubSp5OcgWNYhk0QrX3DACx8lCJg3DPgY5LyWGVBQuZB50wOtnjXzugp08LKpk4P3xJwkUXiwaolpddeZ5Nn3averb4Re6WFwF3tKWQkyJJ8IzNhKzfo6CeRH3rA816YrSZgnE/9wtTZpgXKpSIcJPRcuJ/ZBhLK9QBtZKzJt68V4rugF5k0XV84T/fWhbFIhUjBB+DYwSFpTNETaN9ge6dNTzzvfw2Jm9Tw9zUv2TKmFqP5sauuAg/Agl3WSWHHrm77en8GnuvVBzAt8Cj7e58MpiBDCi/jQ8yCdg+DKWT9lEZIDOP49n8GFU4gL8r6qkDT3hyXyyHqkmQORWBS/TEHW6K5n6B6F0890uhhYA+1IDnuA4svOtzlXaer2miV+xSt56/VDZF+cWIOPlDfvW/C5g1UMQWfDkj+hpJxhvb9iAV+MXuKzN1qhRo0aNGjVq1KhRo0aNGjVq1KhRo0aNGjVq1Khxv/g/perM2PHChgoAAAAASUVORK5CYII="/>
        <xdr:cNvSpPr>
          <a:spLocks noChangeAspect="1" noChangeArrowheads="1"/>
        </xdr:cNvSpPr>
      </xdr:nvSpPr>
      <xdr:spPr bwMode="auto">
        <a:xfrm>
          <a:off x="3162300" y="10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239888</xdr:colOff>
      <xdr:row>12</xdr:row>
      <xdr:rowOff>162984</xdr:rowOff>
    </xdr:from>
    <xdr:to>
      <xdr:col>5</xdr:col>
      <xdr:colOff>403491</xdr:colOff>
      <xdr:row>16</xdr:row>
      <xdr:rowOff>58863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2851" y="2364317"/>
          <a:ext cx="2110936" cy="629657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6</xdr:row>
      <xdr:rowOff>0</xdr:rowOff>
    </xdr:from>
    <xdr:ext cx="304800" cy="305364"/>
    <xdr:sp macro="" textlink="">
      <xdr:nvSpPr>
        <xdr:cNvPr id="4" name="AutoShape 1" descr="data:image/png;base64,iVBORw0KGgoAAAANSUhEUgAAAbwAAABxCAMAAACZb+YzAAAAw1BMVEX///8AAD15gZTs7vEiP2dvepDK0NkzR2m/xtGQnK4AJVIUNmH09fcAIlD5+vsAH1Hg4ubX3OMAEEhsfJUTL1kAEEs/UHBIWHUAGkwMK1aYpLQAHU2Bj6QAF0qLlKamrbnl6OwgNlxbZ4DS1+AsRm2wt8PByNIAAENgb4lRYn6Bi52fqbkAK1l0g5oAFk0eO2Rtd4w7S2ovQmQAADQ5UnZKXn1CWXtdb4wAACxxeo5FVHGqtcREXH1VYnt6iqE6U3YAAEhIHpcNAAASa0lEQVR4nO1da3uquhJmFeUSEwRBJSIYqlhQUeup9Wzduz3//1cdbkKCXV0LtbsuH94vXCQXZ3KZmUwmHFejRo0aNWrUqFGjRo0aNWrUqFGjRo0aNb4AU3lQhkD/Lsjj76rahYAHmXx3Hb4YDjIMAy0zmIvoYVT8qr7iifDzxOdAUT9+z5PrlsNBue0Or5znrWEFcMNTMwg6wmbBvHnbHX2S9CyojdWQP3mrhcg/fXsheH35Sq6d6U1BABg1Yf6oI+vIL2UOelcYM6FKA3JkhsVSb1YOC9H5SY88v6AIjtnTLs32lqEMkWF7+SNv5D3Pc1fXmO+mP7oFnqSoRK+39Ogv4KAbXKEkjy5okZYwXK6v3qFvCeQR4FbePqHeyZin+p2rjJlkRCPpX9MGnlJfDEBwjf6hnhbEwS0YKFfI+2YhtQz0mD95/xkkV2WOX7+s0Y7sfjFKTsXu141tXvu+B07oWIY5OD7xXvpn1aAz/7o2+4KdY+Z809p9WTmRvGx7v/7qD4YWAOyS0sspML6wyXrd7XGWkxrLi2WVnwO+2QH5uuxvAJ6LwT/sKzjM/7T3PplMGjLkxvE1rDiWKnIjTnaI8oluGscebljZHZzZf6edUNvGX75ETQaukhKrFaQlibZRXt5LnE/W4TzTvutxk+MeMDZYWvE7M2eTtwJoTeKbjhFW7iWKYwAzHiThzDKco1Ki2w9p9lrfPspFWgOArRRzUtoi4MCPcvuknIMI0JZPkjdAY54lFxrL+x43OVXEoM80UDKxCup5bTCLiTLtNM+QYaCDzTmXcDGfWbm5nemQwmqZa33eEs3SXjjv7KqXJCNrnt4FKDy+1Lamc9fyJscdTAM80ORS25SlhZM7m6j5km1w1uyk+mBFov4woagodFqptuCZizxTpZH28GimAmd0F0lEenLDP+Ncb9QCS79z5nEBMAyJelY7JkU+6EeyvdJcfTx7KGPpBEy/Ge9tnVO3PqHyN60kfyibjeL10NokLNU2HzYTfnpaEPUzXCMjuTkYfv6S+FZQcQD+46C2cJtu7FrHpukyXlnNt/bxDS8faObAcCOW4LIGsIOLh+GWtqKQdto4+DeLsj9qmXFulIyznDKVp3SvGb+XyxEndDEDtxNXUQmXRVER817vnXncq/lIN3ZhyTCP8xYGzmes8bJHMwfqi1YJ7ZK5Swe4RxtVOLKwEtMHr1tbkr/lt1YzelJe0vzh0JzRrURolMtpLehMhWdLTy4US8na2t4784b2M0NcdtiMpQ0L5QwZW/2qC0UTxJrAIubJp8zjpkszyll6cpInOESzSnJLE2yi7x1avlTvf9gU2u6ceaEilnnTVxcvc0JCvqIMMMAuYiRVsjATAw4fWn+T4rXWsKPXu3zZAVaju+cao0hEobua+njvAgvpoRlLJiJatKKl9ZuHHtqmVOAJIdXoMV3JgwWm7dzETqVZOLReSPEaOuaEJ91M0I/KqagwiOiR8xhJdfxy56oCH6KgRCVeNynhEIaRVjY6znqHnR9Wslpo/R2nzDr0wDzugGROVeZmi55rpZYtvOF0ulV0PxhVI3xo7acPE2bybpj3raTPXVBeT1NG9mtBA9n1YlqiTUJVVe7uq8x5xH/VYku3Scn/I3uSslJCS7ohRGqZv3rMOCZtu3I15qlPbjCR6UHEazfu2jw27dmFbQxK0+S/T9so7yhznDiDkAXuJ0xWn/oVFk/hrJW0fW+BCvXrzcwEGEFkzVcyMKxDdq84VZnHvWLMSMJ8aF/fv+KGQPylXrRV9TUdLqO3w4xwUcdMmMcvMNjGJK/EPKLjVHGQouS54PduZ5Os6pshzSBpA1bHe1idebLFGkVJ466XhKDTfifFo9DR0yfvKF062HVxJLtPN67rGrHVvwrz4KvhupH8rxyibFwcZKV0G0eaDqwlTW2l2c3l3jOYx7cbtH6qyJ3zTHp/CKR2gxpnlOEys3HyTfvtJ0mqDZsfQbdycWjc79B9Q1kvcl6ew7wGo5Foq9Y9dzytAd4IfwTxDHQ0UAu9rvRxmouZp5qrgqYD3KI45LnU/FudeUOXrjPvV9Ty/yzAALn+7OEI38AonzOi6Uf6kHaXMo/3rTdIPS0LTYz4E1JUrjLzNOTT2qluhuSn3/75kC0j4lcOgA2rcLcStsD5SM6+kHn80HxkxrZJ4uKlDLxojkKU50wl5pGoqtDHlBejt106d9zvuDHqdkr4UayYcmQwKTvIxhC6+wuYpzURvTgUQX0B0egGNys5dOmflGHn960j2rI/9M23/HveMfzpXVs1FfUEGt1YFV47Fdak965Z2TJ9BB+6i3mZpnzY7s3JswmWzLrREHfQ8Hfpr7Ut6ymgX4zvmnVnQvMkySNnJib6CeuS128yP9f1A/Nbstr6u12PH+r69Nef1ahRQCGaFg9PUBsL5LsrU6Ma4GErrnac5oiLdkVvxRrfDjLfoK0QvIjA+plVowT+ZEPr4HDXy1Y3DPIPeNmNVM1/+k3maU9mCctJLVx9D/hHYMT2WNX7TQWKvA3LuO8F4xtGxLzGd9ehxpngH5F4xeyE//6ocQb+e9YSxJWZp/71UOMM/HWW3agy8+BYGLMQ7tpV45ZRmXnqS6+MXS2wfA9o5sEISnJROCV+iFQAJXuZQ21MGiX8XTPve0AxD056+95QUV72z4FKNvt9z1e5cWPfY7yiFP4U31HxGmzPU18TbzW168fmzoX5V8wV2BF/4pNQ47uhBoXDG6eJS4mD+iOJH+bdxKNGXTiXlhF7qX/QX2tQOMdIxcsuQiNyfJTchSa/p6MkWST7DR3x4hhBux9PT8tVeaasQaFVNVxCjOm62Wyuj47CnOLgbSNbWIRhZxAJLovZpbzjjI3v+80an2A9OGfPfdpp82e1b/aO91M7ULkDvrjjad2QqPW4+TmuYduX3lvGsR+qLxHj+pcHCRoa9+x+ejsYi3Opu8mkS2X0JB+sy0XNd7HWJf4FqP4QcvLy6GQ/Ft/Fvy/OlGD/1x/VuBRaEAeqUxZmvLc+Amki+3K3qAOI1wt5LfaWKdz8ogdCfaRA7doWUomZRxTive22jAPZaZUY50OOv77R9sDsyobaPNxt/avE0laD1ftB4Q6ieIzz5eHgcstXaMW1O4Bup9M+Lr53n7qdJyroGH8IVtf2oQmALhS1PyAjHDi97q7g3mh5UqVekZz3Ji12t/zlIA3kUPuy9c7zcD5zf1wjuijxJEmAnFCEovHwFYwrgZHs3/exYfheFlB0HhoYFKOppi8eru5jTEZBa5Bn+taJG4fQAAVD1LhKel6lpotx4TqrNRfN6dVttmNn0/PyXFtJ0JiB0foKmYBvbi/PdrxJ5dWxYeBiExR0jIJ5mo8Gl7NO0WiQ6I3abOdO6EIagXYPKFcdaYNxEeWaDw2QM28cNM7RvMpQmSoloeX6RehzL5HChYZx5Tj2HO+o3KBxBRl/tMja+sDGRrGVRBHzrcbEb18jOirp9Qv0EgrxEffYj3qAHp2HGFOBRMgeHZlHgvYVmhPHrfdFlfbpXCTsXXY4m7pXjy+q4t4jPsdmU8ZDl2R3LYyp3ZShnTEPOmZp+8d54HUaKYGEXoc9acNt0YTiRYyfiw/e8p73Zp4TZfAUQ7pKWbiBAWadhmTweo2iaPDAwvIVGp8avOe3TwbSc5poP7Lw0tpi9XWe/kOwoZ6g32VlEKFrUCF2JLDNaspuUb4u4OMypB6F5yW5fiHXmUWlTXG4h4yMTrGNS88GsJ19nVb+IcYbkBtu43iM5ZNGdEAfDxBmCyhbq/mFrqiy0SL5g9Bv3e6K25wKdsIHwDDL4zu/wFlvSBfvY6rB8vL970A5pmIW/x9R//gBlFcnq1uwB/CqLC/w7WNw1aJKR8+CSoD5H4FUck0EeRPW/Mnt2g7hDFDdaupiUNYcvXyxlwycCJGgAOfxlVQsSptFqYaRIE6G0fXogi+j58xeBOXGB7tdJQMjv/R6bh0thFqUlTOLST2N7+SKkoUX/6FhrHEc4sodi+/nBxKoa9G7XR8SrU9FWolkE2AsS5qvbh13KsPRxrYMKWKe5NoTr+pYSmZPyPYjvRw6y2VwbM8ecLNxU258NIcrjmmYpSr5aE/SO36GLNuPp2R1iK1W1dO5xlvTMh7ixiM8dOzeMSLWG9pncS/8W+YdJyHGfBDH4i8dNTOhDmKSxFS+IKJxhs0IDjooadxCtzA58QCnC5JeI4lXIAxKqbQtMBbsJtxecVQHWYMs/Cf/DN4qE1ptH8MijUGxtjIA2Zbt0E3eza+t510HyqAUvHQeDZzsKGWih+JhCJLZRl6eNYnzobmJ2KAEdNQBAJL8YasnCYIwfj+xko8ApZwn2YhAp37NQl5rokGqV2mHsklBsNd58mg0SPI8ID+qkjA3yg3qNkD8V7ZRK01QisVvA3qpfmvtNc5bnPlvtEkcGXjIhK9poWZ80W1s4AhtvZwIPiCDUd21DWWGEfrZsSdzfJLyd2rUTe1xikwFOhPSJgo3KKkTANe2oV4H2qoUTZMje8xwizeZR8VA/mGfBxktrTC/ddsl/I816kpuRx4wIasj5q3jS64qnxJK62NAa17aZkHZZWagk0ibfho+WuHZcK2hXa5Sl2mbKxS74nF8i4q3mzFPy+t0m2d0TtsngnAIRFonhyzzuCnGhSav2ssD/aMslp21RTZ/RTYWgF2eiJj3Kwk/BIyZQKB7Hudt7JjfnpuZaN3/sLECT/zHRaY9DexNPKONbGowiZh3w9uQSXZV5EZ5Lh6LC7bi7LAZURIVMg4vsswhwgkIkzg+1g2w8ryR9rxPMO0tGXpHij3VEUk/tngqTjvlr7ZllepfVUk1EsPthD75QwI3OstF0ObZYm6klfulYCr82tqxHaFNCyxxYFSAij86nZKKZUfiLGsdyQSWn0P1TVaIiQQW+sUQu2Nu3MvCR0NBqlQl3rcCwk2XtIH8KLDcHJSxs8c461xqaQiLFGWDOokiwYod1hzR6Ztlrfm3QfzHATsmEYA/P3wXDsF7qYVRqgIXD5RRDqOzQw57liFwO5cel2WwuU2TmDAJZOOoDYzKZ7tIm255HN1Z9IhyQHNuhFHaTg+636ykAvHhyzjS+umVrClwP5flPAOUKRmgPt2eIl6qfnZmoqevKy6BaKI5GBuMpPqGnm9zVxyvKtwryMinlyKFaS+nIb0OS2ovhITj2WaGUsWYfwNupSbqJQe2tuiTFBz0ucd3RNsTo1mUhu4oc7v3tshWHFUdL6vJhtAxX33ErJs8ouBnX38/hGV6DLOy+ouhC+/TYZczmZs3rXz2VvfJvgnyD8BJQ4duJeZ5aSx81aRW4wL0qRsOTE8yyauUVsNkBYoltvIjRLWeXVGwlwxsMSt2qggu3v7xhXgBq5joaoehgTKw6c1ijewU+/xAOygE9i7ZErhGqKdFNOerMA9OQRLBX9FawJ5l0xhtwf8IYWdLjWArlyTXvy1GyNkBnIcCVSszT3sEJiOfzF3jlgMYS20U9wGZJb1kuNRhBcrxHLupmR6gxY23kZIkx2F6XqObnVaReV6kBAZRe1B3kbK1yWJ/D4xPPX6nXXp+5N1N+vHUZsZNqVM0OnVflXncAIl05+d98xxbzb8GJUhmmpejcT4BEfGQIqTUyQQV+NBJtXI+VpLGcddJ1CW+IvPUOFE048Jpkjyhl7r99NRu7ZWJyD7HYvqk+EvaMqQ+hfnTGcybt5k6jNzWLXe8WA21ZAW2aXVJ8c1HmiAB+oekt1of/UQOr8S8j9KH6LP98tHPtFKibcFzdjtuuFSV6PDR1ZnHxD+ONdHubSp5OcgWNYhk0QrX3DACx8lCJg3DPgY5LyWGVBQuZB50wOtnjXzugp08LKpk4P3xJwkUXiwaolpddeZ5Nn3averb4Re6WFwF3tKWQkyJJ8IzNhKzfo6CeRH3rA816YrSZgnE/9wtTZpgXKpSIcJPRcuJ/ZBhLK9QBtZKzJt68V4rugF5k0XV84T/fWhbFIhUjBB+DYwSFpTNETaN9ge6dNTzzvfw2Jm9Tw9zUv2TKmFqP5sauuAg/Agl3WSWHHrm77en8GnuvVBzAt8Cj7e58MpiBDCi/jQ8yCdg+DKWT9lEZIDOP49n8GFU4gL8r6qkDT3hyXyyHqkmQORWBS/TEHW6K5n6B6F0890uhhYA+1IDnuA4svOtzlXaer2miV+xSt56/VDZF+cWIOPlDfvW/C5g1UMQWfDkj+hpJxhvb9iAV+MXuKzN1qhRo0aNGjVq1KhRo0aNGjVq1KhRo0aNGjVq1Khxv/g/perM2PHChgoAAAAASUVORK5CYII="/>
        <xdr:cNvSpPr>
          <a:spLocks noChangeAspect="1" noChangeArrowheads="1"/>
        </xdr:cNvSpPr>
      </xdr:nvSpPr>
      <xdr:spPr bwMode="auto">
        <a:xfrm>
          <a:off x="3170296" y="1100667"/>
          <a:ext cx="304800" cy="305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5364"/>
    <xdr:sp macro="" textlink="">
      <xdr:nvSpPr>
        <xdr:cNvPr id="5" name="AutoShape 1" descr="data:image/png;base64,iVBORw0KGgoAAAANSUhEUgAAAbwAAABxCAMAAACZb+YzAAAAw1BMVEX///8AAD15gZTs7vEiP2dvepDK0NkzR2m/xtGQnK4AJVIUNmH09fcAIlD5+vsAH1Hg4ubX3OMAEEhsfJUTL1kAEEs/UHBIWHUAGkwMK1aYpLQAHU2Bj6QAF0qLlKamrbnl6OwgNlxbZ4DS1+AsRm2wt8PByNIAAENgb4lRYn6Bi52fqbkAK1l0g5oAFk0eO2Rtd4w7S2ovQmQAADQ5UnZKXn1CWXtdb4wAACxxeo5FVHGqtcREXH1VYnt6iqE6U3YAAEhIHpcNAAASa0lEQVR4nO1da3uquhJmFeUSEwRBJSIYqlhQUeup9Wzduz3//1cdbkKCXV0LtbsuH94vXCQXZ3KZmUwmHFejRo0aNWrUqFGjRo0aNWrUqFGjRo0aNb4AU3lQhkD/Lsjj76rahYAHmXx3Hb4YDjIMAy0zmIvoYVT8qr7iifDzxOdAUT9+z5PrlsNBue0Or5znrWEFcMNTMwg6wmbBvHnbHX2S9CyojdWQP3mrhcg/fXsheH35Sq6d6U1BABg1Yf6oI+vIL2UOelcYM6FKA3JkhsVSb1YOC9H5SY88v6AIjtnTLs32lqEMkWF7+SNv5D3Pc1fXmO+mP7oFnqSoRK+39Ogv4KAbXKEkjy5okZYwXK6v3qFvCeQR4FbePqHeyZin+p2rjJlkRCPpX9MGnlJfDEBwjf6hnhbEwS0YKFfI+2YhtQz0mD95/xkkV2WOX7+s0Y7sfjFKTsXu141tXvu+B07oWIY5OD7xXvpn1aAz/7o2+4KdY+Z809p9WTmRvGx7v/7qD4YWAOyS0sspML6wyXrd7XGWkxrLi2WVnwO+2QH5uuxvAJ6LwT/sKzjM/7T3PplMGjLkxvE1rDiWKnIjTnaI8oluGscebljZHZzZf6edUNvGX75ETQaukhKrFaQlibZRXt5LnE/W4TzTvutxk+MeMDZYWvE7M2eTtwJoTeKbjhFW7iWKYwAzHiThzDKco1Ki2w9p9lrfPspFWgOArRRzUtoi4MCPcvuknIMI0JZPkjdAY54lFxrL+x43OVXEoM80UDKxCup5bTCLiTLtNM+QYaCDzTmXcDGfWbm5nemQwmqZa33eEs3SXjjv7KqXJCNrnt4FKDy+1Lamc9fyJscdTAM80ORS25SlhZM7m6j5km1w1uyk+mBFov4woagodFqptuCZizxTpZH28GimAmd0F0lEenLDP+Ncb9QCS79z5nEBMAyJelY7JkU+6EeyvdJcfTx7KGPpBEy/Ge9tnVO3PqHyN60kfyibjeL10NokLNU2HzYTfnpaEPUzXCMjuTkYfv6S+FZQcQD+46C2cJtu7FrHpukyXlnNt/bxDS8faObAcCOW4LIGsIOLh+GWtqKQdto4+DeLsj9qmXFulIyznDKVp3SvGb+XyxEndDEDtxNXUQmXRVER817vnXncq/lIN3ZhyTCP8xYGzmes8bJHMwfqi1YJ7ZK5Swe4RxtVOLKwEtMHr1tbkr/lt1YzelJe0vzh0JzRrURolMtpLehMhWdLTy4US8na2t4784b2M0NcdtiMpQ0L5QwZW/2qC0UTxJrAIubJp8zjpkszyll6cpInOESzSnJLE2yi7x1avlTvf9gU2u6ceaEilnnTVxcvc0JCvqIMMMAuYiRVsjATAw4fWn+T4rXWsKPXu3zZAVaju+cao0hEobua+njvAgvpoRlLJiJatKKl9ZuHHtqmVOAJIdXoMV3JgwWm7dzETqVZOLReSPEaOuaEJ91M0I/KqagwiOiR8xhJdfxy56oCH6KgRCVeNynhEIaRVjY6znqHnR9Wslpo/R2nzDr0wDzugGROVeZmi55rpZYtvOF0ulV0PxhVI3xo7acPE2bybpj3raTPXVBeT1NG9mtBA9n1YlqiTUJVVe7uq8x5xH/VYku3Scn/I3uSslJCS7ohRGqZv3rMOCZtu3I15qlPbjCR6UHEazfu2jw27dmFbQxK0+S/T9so7yhznDiDkAXuJ0xWn/oVFk/hrJW0fW+BCvXrzcwEGEFkzVcyMKxDdq84VZnHvWLMSMJ8aF/fv+KGQPylXrRV9TUdLqO3w4xwUcdMmMcvMNjGJK/EPKLjVHGQouS54PduZ5Os6pshzSBpA1bHe1idebLFGkVJ466XhKDTfifFo9DR0yfvKF062HVxJLtPN67rGrHVvwrz4KvhupH8rxyibFwcZKV0G0eaDqwlTW2l2c3l3jOYx7cbtH6qyJ3zTHp/CKR2gxpnlOEys3HyTfvtJ0mqDZsfQbdycWjc79B9Q1kvcl6ew7wGo5Foq9Y9dzytAd4IfwTxDHQ0UAu9rvRxmouZp5qrgqYD3KI45LnU/FudeUOXrjPvV9Ty/yzAALn+7OEI38AonzOi6Uf6kHaXMo/3rTdIPS0LTYz4E1JUrjLzNOTT2qluhuSn3/75kC0j4lcOgA2rcLcStsD5SM6+kHn80HxkxrZJ4uKlDLxojkKU50wl5pGoqtDHlBejt106d9zvuDHqdkr4UayYcmQwKTvIxhC6+wuYpzURvTgUQX0B0egGNys5dOmflGHn960j2rI/9M23/HveMfzpXVs1FfUEGt1YFV47Fdak965Z2TJ9BB+6i3mZpnzY7s3JswmWzLrREHfQ8Hfpr7Ut6ymgX4zvmnVnQvMkySNnJib6CeuS128yP9f1A/Nbstr6u12PH+r69Nef1ahRQCGaFg9PUBsL5LsrU6Ma4GErrnac5oiLdkVvxRrfDjLfoK0QvIjA+plVowT+ZEPr4HDXy1Y3DPIPeNmNVM1/+k3maU9mCctJLVx9D/hHYMT2WNX7TQWKvA3LuO8F4xtGxLzGd9ehxpngH5F4xeyE//6ocQb+e9YSxJWZp/71UOMM/HWW3agy8+BYGLMQ7tpV45ZRmXnqS6+MXS2wfA9o5sEISnJROCV+iFQAJXuZQ21MGiX8XTPve0AxD056+95QUV72z4FKNvt9z1e5cWPfY7yiFP4U31HxGmzPU18TbzW168fmzoX5V8wV2BF/4pNQ47uhBoXDG6eJS4mD+iOJH+bdxKNGXTiXlhF7qX/QX2tQOMdIxcsuQiNyfJTchSa/p6MkWST7DR3x4hhBux9PT8tVeaasQaFVNVxCjOm62Wyuj47CnOLgbSNbWIRhZxAJLovZpbzjjI3v+80an2A9OGfPfdpp82e1b/aO91M7ULkDvrjjad2QqPW4+TmuYduX3lvGsR+qLxHj+pcHCRoa9+x+ejsYi3Opu8mkS2X0JB+sy0XNd7HWJf4FqP4QcvLy6GQ/Ft/Fvy/OlGD/1x/VuBRaEAeqUxZmvLc+Amki+3K3qAOI1wt5LfaWKdz8ogdCfaRA7doWUomZRxTive22jAPZaZUY50OOv77R9sDsyobaPNxt/avE0laD1ftB4Q6ieIzz5eHgcstXaMW1O4Bup9M+Lr53n7qdJyroGH8IVtf2oQmALhS1PyAjHDi97q7g3mh5UqVekZz3Ji12t/zlIA3kUPuy9c7zcD5zf1wjuijxJEmAnFCEovHwFYwrgZHs3/exYfheFlB0HhoYFKOppi8eru5jTEZBa5Bn+taJG4fQAAVD1LhKel6lpotx4TqrNRfN6dVttmNn0/PyXFtJ0JiB0foKmYBvbi/PdrxJ5dWxYeBiExR0jIJ5mo8Gl7NO0WiQ6I3abOdO6EIagXYPKFcdaYNxEeWaDw2QM28cNM7RvMpQmSoloeX6RehzL5HChYZx5Tj2HO+o3KBxBRl/tMja+sDGRrGVRBHzrcbEb18jOirp9Qv0EgrxEffYj3qAHp2HGFOBRMgeHZlHgvYVmhPHrfdFlfbpXCTsXXY4m7pXjy+q4t4jPsdmU8ZDl2R3LYyp3ZShnTEPOmZp+8d54HUaKYGEXoc9acNt0YTiRYyfiw/e8p73Zp4TZfAUQ7pKWbiBAWadhmTweo2iaPDAwvIVGp8avOe3TwbSc5poP7Lw0tpi9XWe/kOwoZ6g32VlEKFrUCF2JLDNaspuUb4u4OMypB6F5yW5fiHXmUWlTXG4h4yMTrGNS88GsJ19nVb+IcYbkBtu43iM5ZNGdEAfDxBmCyhbq/mFrqiy0SL5g9Bv3e6K25wKdsIHwDDL4zu/wFlvSBfvY6rB8vL970A5pmIW/x9R//gBlFcnq1uwB/CqLC/w7WNw1aJKR8+CSoD5H4FUck0EeRPW/Mnt2g7hDFDdaupiUNYcvXyxlwycCJGgAOfxlVQsSptFqYaRIE6G0fXogi+j58xeBOXGB7tdJQMjv/R6bh0thFqUlTOLST2N7+SKkoUX/6FhrHEc4sodi+/nBxKoa9G7XR8SrU9FWolkE2AsS5qvbh13KsPRxrYMKWKe5NoTr+pYSmZPyPYjvRw6y2VwbM8ecLNxU258NIcrjmmYpSr5aE/SO36GLNuPp2R1iK1W1dO5xlvTMh7ixiM8dOzeMSLWG9pncS/8W+YdJyHGfBDH4i8dNTOhDmKSxFS+IKJxhs0IDjooadxCtzA58QCnC5JeI4lXIAxKqbQtMBbsJtxecVQHWYMs/Cf/DN4qE1ptH8MijUGxtjIA2Zbt0E3eza+t510HyqAUvHQeDZzsKGWih+JhCJLZRl6eNYnzobmJ2KAEdNQBAJL8YasnCYIwfj+xko8ApZwn2YhAp37NQl5rokGqV2mHsklBsNd58mg0SPI8ID+qkjA3yg3qNkD8V7ZRK01QisVvA3qpfmvtNc5bnPlvtEkcGXjIhK9poWZ80W1s4AhtvZwIPiCDUd21DWWGEfrZsSdzfJLyd2rUTe1xikwFOhPSJgo3KKkTANe2oV4H2qoUTZMje8xwizeZR8VA/mGfBxktrTC/ddsl/I816kpuRx4wIasj5q3jS64qnxJK62NAa17aZkHZZWagk0ibfho+WuHZcK2hXa5Sl2mbKxS74nF8i4q3mzFPy+t0m2d0TtsngnAIRFonhyzzuCnGhSav2ssD/aMslp21RTZ/RTYWgF2eiJj3Kwk/BIyZQKB7Hudt7JjfnpuZaN3/sLECT/zHRaY9DexNPKONbGowiZh3w9uQSXZV5EZ5Lh6LC7bi7LAZURIVMg4vsswhwgkIkzg+1g2w8ryR9rxPMO0tGXpHij3VEUk/tngqTjvlr7ZllepfVUk1EsPthD75QwI3OstF0ObZYm6klfulYCr82tqxHaFNCyxxYFSAij86nZKKZUfiLGsdyQSWn0P1TVaIiQQW+sUQu2Nu3MvCR0NBqlQl3rcCwk2XtIH8KLDcHJSxs8c461xqaQiLFGWDOokiwYod1hzR6Ztlrfm3QfzHATsmEYA/P3wXDsF7qYVRqgIXD5RRDqOzQw57liFwO5cel2WwuU2TmDAJZOOoDYzKZ7tIm255HN1Z9IhyQHNuhFHaTg+636ykAvHhyzjS+umVrClwP5flPAOUKRmgPt2eIl6qfnZmoqevKy6BaKI5GBuMpPqGnm9zVxyvKtwryMinlyKFaS+nIb0OS2ovhITj2WaGUsWYfwNupSbqJQe2tuiTFBz0ucd3RNsTo1mUhu4oc7v3tshWHFUdL6vJhtAxX33ErJs8ouBnX38/hGV6DLOy+ouhC+/TYZczmZs3rXz2VvfJvgnyD8BJQ4duJeZ5aSx81aRW4wL0qRsOTE8yyauUVsNkBYoltvIjRLWeXVGwlwxsMSt2qggu3v7xhXgBq5joaoehgTKw6c1ijewU+/xAOygE9i7ZErhGqKdFNOerMA9OQRLBX9FawJ5l0xhtwf8IYWdLjWArlyTXvy1GyNkBnIcCVSszT3sEJiOfzF3jlgMYS20U9wGZJb1kuNRhBcrxHLupmR6gxY23kZIkx2F6XqObnVaReV6kBAZRe1B3kbK1yWJ/D4xPPX6nXXp+5N1N+vHUZsZNqVM0OnVflXncAIl05+d98xxbzb8GJUhmmpejcT4BEfGQIqTUyQQV+NBJtXI+VpLGcddJ1CW+IvPUOFE048Jpkjyhl7r99NRu7ZWJyD7HYvqk+EvaMqQ+hfnTGcybt5k6jNzWLXe8WA21ZAW2aXVJ8c1HmiAB+oekt1of/UQOr8S8j9KH6LP98tHPtFKibcFzdjtuuFSV6PDR1ZnHxD+ONdHubSp5OcgWNYhk0QrX3DACx8lCJg3DPgY5LyWGVBQuZB50wOtnjXzugp08LKpk4P3xJwkUXiwaolpddeZ5Nn3averb4Re6WFwF3tKWQkyJJ8IzNhKzfo6CeRH3rA816YrSZgnE/9wtTZpgXKpSIcJPRcuJ/ZBhLK9QBtZKzJt68V4rugF5k0XV84T/fWhbFIhUjBB+DYwSFpTNETaN9ge6dNTzzvfw2Jm9Tw9zUv2TKmFqP5sauuAg/Agl3WSWHHrm77en8GnuvVBzAt8Cj7e58MpiBDCi/jQ8yCdg+DKWT9lEZIDOP49n8GFU4gL8r6qkDT3hyXyyHqkmQORWBS/TEHW6K5n6B6F0890uhhYA+1IDnuA4svOtzlXaer2miV+xSt56/VDZF+cWIOPlDfvW/C5g1UMQWfDkj+hpJxhvb9iAV+MXuKzN1qhRo0aNGjVq1KhRo0aNGjVq1KhRo0aNGjVq1Khxv/g/perM2PHChgoAAAAASUVORK5CYII="/>
        <xdr:cNvSpPr>
          <a:spLocks noChangeAspect="1" noChangeArrowheads="1"/>
        </xdr:cNvSpPr>
      </xdr:nvSpPr>
      <xdr:spPr bwMode="auto">
        <a:xfrm>
          <a:off x="3170296" y="1100667"/>
          <a:ext cx="304800" cy="305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5364"/>
    <xdr:sp macro="" textlink="">
      <xdr:nvSpPr>
        <xdr:cNvPr id="6" name="AutoShape 1" descr="data:image/png;base64,iVBORw0KGgoAAAANSUhEUgAAAbwAAABxCAMAAACZb+YzAAAAw1BMVEX///8AAD15gZTs7vEiP2dvepDK0NkzR2m/xtGQnK4AJVIUNmH09fcAIlD5+vsAH1Hg4ubX3OMAEEhsfJUTL1kAEEs/UHBIWHUAGkwMK1aYpLQAHU2Bj6QAF0qLlKamrbnl6OwgNlxbZ4DS1+AsRm2wt8PByNIAAENgb4lRYn6Bi52fqbkAK1l0g5oAFk0eO2Rtd4w7S2ovQmQAADQ5UnZKXn1CWXtdb4wAACxxeo5FVHGqtcREXH1VYnt6iqE6U3YAAEhIHpcNAAASa0lEQVR4nO1da3uquhJmFeUSEwRBJSIYqlhQUeup9Wzduz3//1cdbkKCXV0LtbsuH94vXCQXZ3KZmUwmHFejRo0aNWrUqFGjRo0aNWrUqFGjRo0aNb4AU3lQhkD/Lsjj76rahYAHmXx3Hb4YDjIMAy0zmIvoYVT8qr7iifDzxOdAUT9+z5PrlsNBue0Or5znrWEFcMNTMwg6wmbBvHnbHX2S9CyojdWQP3mrhcg/fXsheH35Sq6d6U1BABg1Yf6oI+vIL2UOelcYM6FKA3JkhsVSb1YOC9H5SY88v6AIjtnTLs32lqEMkWF7+SNv5D3Pc1fXmO+mP7oFnqSoRK+39Ogv4KAbXKEkjy5okZYwXK6v3qFvCeQR4FbePqHeyZin+p2rjJlkRCPpX9MGnlJfDEBwjf6hnhbEwS0YKFfI+2YhtQz0mD95/xkkV2WOX7+s0Y7sfjFKTsXu141tXvu+B07oWIY5OD7xXvpn1aAz/7o2+4KdY+Z809p9WTmRvGx7v/7qD4YWAOyS0sspML6wyXrd7XGWkxrLi2WVnwO+2QH5uuxvAJ6LwT/sKzjM/7T3PplMGjLkxvE1rDiWKnIjTnaI8oluGscebljZHZzZf6edUNvGX75ETQaukhKrFaQlibZRXt5LnE/W4TzTvutxk+MeMDZYWvE7M2eTtwJoTeKbjhFW7iWKYwAzHiThzDKco1Ki2w9p9lrfPspFWgOArRRzUtoi4MCPcvuknIMI0JZPkjdAY54lFxrL+x43OVXEoM80UDKxCup5bTCLiTLtNM+QYaCDzTmXcDGfWbm5nemQwmqZa33eEs3SXjjv7KqXJCNrnt4FKDy+1Lamc9fyJscdTAM80ORS25SlhZM7m6j5km1w1uyk+mBFov4woagodFqptuCZizxTpZH28GimAmd0F0lEenLDP+Ncb9QCS79z5nEBMAyJelY7JkU+6EeyvdJcfTx7KGPpBEy/Ge9tnVO3PqHyN60kfyibjeL10NokLNU2HzYTfnpaEPUzXCMjuTkYfv6S+FZQcQD+46C2cJtu7FrHpukyXlnNt/bxDS8faObAcCOW4LIGsIOLh+GWtqKQdto4+DeLsj9qmXFulIyznDKVp3SvGb+XyxEndDEDtxNXUQmXRVER817vnXncq/lIN3ZhyTCP8xYGzmes8bJHMwfqi1YJ7ZK5Swe4RxtVOLKwEtMHr1tbkr/lt1YzelJe0vzh0JzRrURolMtpLehMhWdLTy4US8na2t4784b2M0NcdtiMpQ0L5QwZW/2qC0UTxJrAIubJp8zjpkszyll6cpInOESzSnJLE2yi7x1avlTvf9gU2u6ceaEilnnTVxcvc0JCvqIMMMAuYiRVsjATAw4fWn+T4rXWsKPXu3zZAVaju+cao0hEobua+njvAgvpoRlLJiJatKKl9ZuHHtqmVOAJIdXoMV3JgwWm7dzETqVZOLReSPEaOuaEJ91M0I/KqagwiOiR8xhJdfxy56oCH6KgRCVeNynhEIaRVjY6znqHnR9Wslpo/R2nzDr0wDzugGROVeZmi55rpZYtvOF0ulV0PxhVI3xo7acPE2bybpj3raTPXVBeT1NG9mtBA9n1YlqiTUJVVe7uq8x5xH/VYku3Scn/I3uSslJCS7ohRGqZv3rMOCZtu3I15qlPbjCR6UHEazfu2jw27dmFbQxK0+S/T9so7yhznDiDkAXuJ0xWn/oVFk/hrJW0fW+BCvXrzcwEGEFkzVcyMKxDdq84VZnHvWLMSMJ8aF/fv+KGQPylXrRV9TUdLqO3w4xwUcdMmMcvMNjGJK/EPKLjVHGQouS54PduZ5Os6pshzSBpA1bHe1idebLFGkVJ466XhKDTfifFo9DR0yfvKF062HVxJLtPN67rGrHVvwrz4KvhupH8rxyibFwcZKV0G0eaDqwlTW2l2c3l3jOYx7cbtH6qyJ3zTHp/CKR2gxpnlOEys3HyTfvtJ0mqDZsfQbdycWjc79B9Q1kvcl6ew7wGo5Foq9Y9dzytAd4IfwTxDHQ0UAu9rvRxmouZp5qrgqYD3KI45LnU/FudeUOXrjPvV9Ty/yzAALn+7OEI38AonzOi6Uf6kHaXMo/3rTdIPS0LTYz4E1JUrjLzNOTT2qluhuSn3/75kC0j4lcOgA2rcLcStsD5SM6+kHn80HxkxrZJ4uKlDLxojkKU50wl5pGoqtDHlBejt106d9zvuDHqdkr4UayYcmQwKTvIxhC6+wuYpzURvTgUQX0B0egGNys5dOmflGHn960j2rI/9M23/HveMfzpXVs1FfUEGt1YFV47Fdak965Z2TJ9BB+6i3mZpnzY7s3JswmWzLrREHfQ8Hfpr7Ut6ymgX4zvmnVnQvMkySNnJib6CeuS128yP9f1A/Nbstr6u12PH+r69Nef1ahRQCGaFg9PUBsL5LsrU6Ma4GErrnac5oiLdkVvxRrfDjLfoK0QvIjA+plVowT+ZEPr4HDXy1Y3DPIPeNmNVM1/+k3maU9mCctJLVx9D/hHYMT2WNX7TQWKvA3LuO8F4xtGxLzGd9ehxpngH5F4xeyE//6ocQb+e9YSxJWZp/71UOMM/HWW3agy8+BYGLMQ7tpV45ZRmXnqS6+MXS2wfA9o5sEISnJROCV+iFQAJXuZQ21MGiX8XTPve0AxD056+95QUV72z4FKNvt9z1e5cWPfY7yiFP4U31HxGmzPU18TbzW168fmzoX5V8wV2BF/4pNQ47uhBoXDG6eJS4mD+iOJH+bdxKNGXTiXlhF7qX/QX2tQOMdIxcsuQiNyfJTchSa/p6MkWST7DR3x4hhBux9PT8tVeaasQaFVNVxCjOm62Wyuj47CnOLgbSNbWIRhZxAJLovZpbzjjI3v+80an2A9OGfPfdpp82e1b/aO91M7ULkDvrjjad2QqPW4+TmuYduX3lvGsR+qLxHj+pcHCRoa9+x+ejsYi3Opu8mkS2X0JB+sy0XNd7HWJf4FqP4QcvLy6GQ/Ft/Fvy/OlGD/1x/VuBRaEAeqUxZmvLc+Amki+3K3qAOI1wt5LfaWKdz8ogdCfaRA7doWUomZRxTive22jAPZaZUY50OOv77R9sDsyobaPNxt/avE0laD1ftB4Q6ieIzz5eHgcstXaMW1O4Bup9M+Lr53n7qdJyroGH8IVtf2oQmALhS1PyAjHDi97q7g3mh5UqVekZz3Ji12t/zlIA3kUPuy9c7zcD5zf1wjuijxJEmAnFCEovHwFYwrgZHs3/exYfheFlB0HhoYFKOppi8eru5jTEZBa5Bn+taJG4fQAAVD1LhKel6lpotx4TqrNRfN6dVttmNn0/PyXFtJ0JiB0foKmYBvbi/PdrxJ5dWxYeBiExR0jIJ5mo8Gl7NO0WiQ6I3abOdO6EIagXYPKFcdaYNxEeWaDw2QM28cNM7RvMpQmSoloeX6RehzL5HChYZx5Tj2HO+o3KBxBRl/tMja+sDGRrGVRBHzrcbEb18jOirp9Qv0EgrxEffYj3qAHp2HGFOBRMgeHZlHgvYVmhPHrfdFlfbpXCTsXXY4m7pXjy+q4t4jPsdmU8ZDl2R3LYyp3ZShnTEPOmZp+8d54HUaKYGEXoc9acNt0YTiRYyfiw/e8p73Zp4TZfAUQ7pKWbiBAWadhmTweo2iaPDAwvIVGp8avOe3TwbSc5poP7Lw0tpi9XWe/kOwoZ6g32VlEKFrUCF2JLDNaspuUb4u4OMypB6F5yW5fiHXmUWlTXG4h4yMTrGNS88GsJ19nVb+IcYbkBtu43iM5ZNGdEAfDxBmCyhbq/mFrqiy0SL5g9Bv3e6K25wKdsIHwDDL4zu/wFlvSBfvY6rB8vL970A5pmIW/x9R//gBlFcnq1uwB/CqLC/w7WNw1aJKR8+CSoD5H4FUck0EeRPW/Mnt2g7hDFDdaupiUNYcvXyxlwycCJGgAOfxlVQsSptFqYaRIE6G0fXogi+j58xeBOXGB7tdJQMjv/R6bh0thFqUlTOLST2N7+SKkoUX/6FhrHEc4sodi+/nBxKoa9G7XR8SrU9FWolkE2AsS5qvbh13KsPRxrYMKWKe5NoTr+pYSmZPyPYjvRw6y2VwbM8ecLNxU258NIcrjmmYpSr5aE/SO36GLNuPp2R1iK1W1dO5xlvTMh7ixiM8dOzeMSLWG9pncS/8W+YdJyHGfBDH4i8dNTOhDmKSxFS+IKJxhs0IDjooadxCtzA58QCnC5JeI4lXIAxKqbQtMBbsJtxecVQHWYMs/Cf/DN4qE1ptH8MijUGxtjIA2Zbt0E3eza+t510HyqAUvHQeDZzsKGWih+JhCJLZRl6eNYnzobmJ2KAEdNQBAJL8YasnCYIwfj+xko8ApZwn2YhAp37NQl5rokGqV2mHsklBsNd58mg0SPI8ID+qkjA3yg3qNkD8V7ZRK01QisVvA3qpfmvtNc5bnPlvtEkcGXjIhK9poWZ80W1s4AhtvZwIPiCDUd21DWWGEfrZsSdzfJLyd2rUTe1xikwFOhPSJgo3KKkTANe2oV4H2qoUTZMje8xwizeZR8VA/mGfBxktrTC/ddsl/I816kpuRx4wIasj5q3jS64qnxJK62NAa17aZkHZZWagk0ibfho+WuHZcK2hXa5Sl2mbKxS74nF8i4q3mzFPy+t0m2d0TtsngnAIRFonhyzzuCnGhSav2ssD/aMslp21RTZ/RTYWgF2eiJj3Kwk/BIyZQKB7Hudt7JjfnpuZaN3/sLECT/zHRaY9DexNPKONbGowiZh3w9uQSXZV5EZ5Lh6LC7bi7LAZURIVMg4vsswhwgkIkzg+1g2w8ryR9rxPMO0tGXpHij3VEUk/tngqTjvlr7ZllepfVUk1EsPthD75QwI3OstF0ObZYm6klfulYCr82tqxHaFNCyxxYFSAij86nZKKZUfiLGsdyQSWn0P1TVaIiQQW+sUQu2Nu3MvCR0NBqlQl3rcCwk2XtIH8KLDcHJSxs8c461xqaQiLFGWDOokiwYod1hzR6Ztlrfm3QfzHATsmEYA/P3wXDsF7qYVRqgIXD5RRDqOzQw57liFwO5cel2WwuU2TmDAJZOOoDYzKZ7tIm255HN1Z9IhyQHNuhFHaTg+636ykAvHhyzjS+umVrClwP5flPAOUKRmgPt2eIl6qfnZmoqevKy6BaKI5GBuMpPqGnm9zVxyvKtwryMinlyKFaS+nIb0OS2ovhITj2WaGUsWYfwNupSbqJQe2tuiTFBz0ucd3RNsTo1mUhu4oc7v3tshWHFUdL6vJhtAxX33ErJs8ouBnX38/hGV6DLOy+ouhC+/TYZczmZs3rXz2VvfJvgnyD8BJQ4duJeZ5aSx81aRW4wL0qRsOTE8yyauUVsNkBYoltvIjRLWeXVGwlwxsMSt2qggu3v7xhXgBq5joaoehgTKw6c1ijewU+/xAOygE9i7ZErhGqKdFNOerMA9OQRLBX9FawJ5l0xhtwf8IYWdLjWArlyTXvy1GyNkBnIcCVSszT3sEJiOfzF3jlgMYS20U9wGZJb1kuNRhBcrxHLupmR6gxY23kZIkx2F6XqObnVaReV6kBAZRe1B3kbK1yWJ/D4xPPX6nXXp+5N1N+vHUZsZNqVM0OnVflXncAIl05+d98xxbzb8GJUhmmpejcT4BEfGQIqTUyQQV+NBJtXI+VpLGcddJ1CW+IvPUOFE048Jpkjyhl7r99NRu7ZWJyD7HYvqk+EvaMqQ+hfnTGcybt5k6jNzWLXe8WA21ZAW2aXVJ8c1HmiAB+oekt1of/UQOr8S8j9KH6LP98tHPtFKibcFzdjtuuFSV6PDR1ZnHxD+ONdHubSp5OcgWNYhk0QrX3DACx8lCJg3DPgY5LyWGVBQuZB50wOtnjXzugp08LKpk4P3xJwkUXiwaolpddeZ5Nn3averb4Re6WFwF3tKWQkyJJ8IzNhKzfo6CeRH3rA816YrSZgnE/9wtTZpgXKpSIcJPRcuJ/ZBhLK9QBtZKzJt68V4rugF5k0XV84T/fWhbFIhUjBB+DYwSFpTNETaN9ge6dNTzzvfw2Jm9Tw9zUv2TKmFqP5sauuAg/Agl3WSWHHrm77en8GnuvVBzAt8Cj7e58MpiBDCi/jQ8yCdg+DKWT9lEZIDOP49n8GFU4gL8r6qkDT3hyXyyHqkmQORWBS/TEHW6K5n6B6F0890uhhYA+1IDnuA4svOtzlXaer2miV+xSt56/VDZF+cWIOPlDfvW/C5g1UMQWfDkj+hpJxhvb9iAV+MXuKzN1qhRo0aNGjVq1KhRo0aNGjVq1KhRo0aNGjVq1Khxv/g/perM2PHChgoAAAAASUVORK5CYII="/>
        <xdr:cNvSpPr>
          <a:spLocks noChangeAspect="1" noChangeArrowheads="1"/>
        </xdr:cNvSpPr>
      </xdr:nvSpPr>
      <xdr:spPr bwMode="auto">
        <a:xfrm>
          <a:off x="3170296" y="1100667"/>
          <a:ext cx="304800" cy="305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5364"/>
    <xdr:sp macro="" textlink="">
      <xdr:nvSpPr>
        <xdr:cNvPr id="7" name="AutoShape 1" descr="data:image/png;base64,iVBORw0KGgoAAAANSUhEUgAAAbwAAABxCAMAAACZb+YzAAAAw1BMVEX///8AAD15gZTs7vEiP2dvepDK0NkzR2m/xtGQnK4AJVIUNmH09fcAIlD5+vsAH1Hg4ubX3OMAEEhsfJUTL1kAEEs/UHBIWHUAGkwMK1aYpLQAHU2Bj6QAF0qLlKamrbnl6OwgNlxbZ4DS1+AsRm2wt8PByNIAAENgb4lRYn6Bi52fqbkAK1l0g5oAFk0eO2Rtd4w7S2ovQmQAADQ5UnZKXn1CWXtdb4wAACxxeo5FVHGqtcREXH1VYnt6iqE6U3YAAEhIHpcNAAASa0lEQVR4nO1da3uquhJmFeUSEwRBJSIYqlhQUeup9Wzduz3//1cdbkKCXV0LtbsuH94vXCQXZ3KZmUwmHFejRo0aNWrUqFGjRo0aNWrUqFGjRo0aNb4AU3lQhkD/Lsjj76rahYAHmXx3Hb4YDjIMAy0zmIvoYVT8qr7iifDzxOdAUT9+z5PrlsNBue0Or5znrWEFcMNTMwg6wmbBvHnbHX2S9CyojdWQP3mrhcg/fXsheH35Sq6d6U1BABg1Yf6oI+vIL2UOelcYM6FKA3JkhsVSb1YOC9H5SY88v6AIjtnTLs32lqEMkWF7+SNv5D3Pc1fXmO+mP7oFnqSoRK+39Ogv4KAbXKEkjy5okZYwXK6v3qFvCeQR4FbePqHeyZin+p2rjJlkRCPpX9MGnlJfDEBwjf6hnhbEwS0YKFfI+2YhtQz0mD95/xkkV2WOX7+s0Y7sfjFKTsXu141tXvu+B07oWIY5OD7xXvpn1aAz/7o2+4KdY+Z809p9WTmRvGx7v/7qD4YWAOyS0sspML6wyXrd7XGWkxrLi2WVnwO+2QH5uuxvAJ6LwT/sKzjM/7T3PplMGjLkxvE1rDiWKnIjTnaI8oluGscebljZHZzZf6edUNvGX75ETQaukhKrFaQlibZRXt5LnE/W4TzTvutxk+MeMDZYWvE7M2eTtwJoTeKbjhFW7iWKYwAzHiThzDKco1Ki2w9p9lrfPspFWgOArRRzUtoi4MCPcvuknIMI0JZPkjdAY54lFxrL+x43OVXEoM80UDKxCup5bTCLiTLtNM+QYaCDzTmXcDGfWbm5nemQwmqZa33eEs3SXjjv7KqXJCNrnt4FKDy+1Lamc9fyJscdTAM80ORS25SlhZM7m6j5km1w1uyk+mBFov4woagodFqptuCZizxTpZH28GimAmd0F0lEenLDP+Ncb9QCS79z5nEBMAyJelY7JkU+6EeyvdJcfTx7KGPpBEy/Ge9tnVO3PqHyN60kfyibjeL10NokLNU2HzYTfnpaEPUzXCMjuTkYfv6S+FZQcQD+46C2cJtu7FrHpukyXlnNt/bxDS8faObAcCOW4LIGsIOLh+GWtqKQdto4+DeLsj9qmXFulIyznDKVp3SvGb+XyxEndDEDtxNXUQmXRVER817vnXncq/lIN3ZhyTCP8xYGzmes8bJHMwfqi1YJ7ZK5Swe4RxtVOLKwEtMHr1tbkr/lt1YzelJe0vzh0JzRrURolMtpLehMhWdLTy4US8na2t4784b2M0NcdtiMpQ0L5QwZW/2qC0UTxJrAIubJp8zjpkszyll6cpInOESzSnJLE2yi7x1avlTvf9gU2u6ceaEilnnTVxcvc0JCvqIMMMAuYiRVsjATAw4fWn+T4rXWsKPXu3zZAVaju+cao0hEobua+njvAgvpoRlLJiJatKKl9ZuHHtqmVOAJIdXoMV3JgwWm7dzETqVZOLReSPEaOuaEJ91M0I/KqagwiOiR8xhJdfxy56oCH6KgRCVeNynhEIaRVjY6znqHnR9Wslpo/R2nzDr0wDzugGROVeZmi55rpZYtvOF0ulV0PxhVI3xo7acPE2bybpj3raTPXVBeT1NG9mtBA9n1YlqiTUJVVe7uq8x5xH/VYku3Scn/I3uSslJCS7ohRGqZv3rMOCZtu3I15qlPbjCR6UHEazfu2jw27dmFbQxK0+S/T9so7yhznDiDkAXuJ0xWn/oVFk/hrJW0fW+BCvXrzcwEGEFkzVcyMKxDdq84VZnHvWLMSMJ8aF/fv+KGQPylXrRV9TUdLqO3w4xwUcdMmMcvMNjGJK/EPKLjVHGQouS54PduZ5Os6pshzSBpA1bHe1idebLFGkVJ466XhKDTfifFo9DR0yfvKF062HVxJLtPN67rGrHVvwrz4KvhupH8rxyibFwcZKV0G0eaDqwlTW2l2c3l3jOYx7cbtH6qyJ3zTHp/CKR2gxpnlOEys3HyTfvtJ0mqDZsfQbdycWjc79B9Q1kvcl6ew7wGo5Foq9Y9dzytAd4IfwTxDHQ0UAu9rvRxmouZp5qrgqYD3KI45LnU/FudeUOXrjPvV9Ty/yzAALn+7OEI38AonzOi6Uf6kHaXMo/3rTdIPS0LTYz4E1JUrjLzNOTT2qluhuSn3/75kC0j4lcOgA2rcLcStsD5SM6+kHn80HxkxrZJ4uKlDLxojkKU50wl5pGoqtDHlBejt106d9zvuDHqdkr4UayYcmQwKTvIxhC6+wuYpzURvTgUQX0B0egGNys5dOmflGHn960j2rI/9M23/HveMfzpXVs1FfUEGt1YFV47Fdak965Z2TJ9BB+6i3mZpnzY7s3JswmWzLrREHfQ8Hfpr7Ut6ymgX4zvmnVnQvMkySNnJib6CeuS128yP9f1A/Nbstr6u12PH+r69Nef1ahRQCGaFg9PUBsL5LsrU6Ma4GErrnac5oiLdkVvxRrfDjLfoK0QvIjA+plVowT+ZEPr4HDXy1Y3DPIPeNmNVM1/+k3maU9mCctJLVx9D/hHYMT2WNX7TQWKvA3LuO8F4xtGxLzGd9ehxpngH5F4xeyE//6ocQb+e9YSxJWZp/71UOMM/HWW3agy8+BYGLMQ7tpV45ZRmXnqS6+MXS2wfA9o5sEISnJROCV+iFQAJXuZQ21MGiX8XTPve0AxD056+95QUV72z4FKNvt9z1e5cWPfY7yiFP4U31HxGmzPU18TbzW168fmzoX5V8wV2BF/4pNQ47uhBoXDG6eJS4mD+iOJH+bdxKNGXTiXlhF7qX/QX2tQOMdIxcsuQiNyfJTchSa/p6MkWST7DR3x4hhBux9PT8tVeaasQaFVNVxCjOm62Wyuj47CnOLgbSNbWIRhZxAJLovZpbzjjI3v+80an2A9OGfPfdpp82e1b/aO91M7ULkDvrjjad2QqPW4+TmuYduX3lvGsR+qLxHj+pcHCRoa9+x+ejsYi3Opu8mkS2X0JB+sy0XNd7HWJf4FqP4QcvLy6GQ/Ft/Fvy/OlGD/1x/VuBRaEAeqUxZmvLc+Amki+3K3qAOI1wt5LfaWKdz8ogdCfaRA7doWUomZRxTive22jAPZaZUY50OOv77R9sDsyobaPNxt/avE0laD1ftB4Q6ieIzz5eHgcstXaMW1O4Bup9M+Lr53n7qdJyroGH8IVtf2oQmALhS1PyAjHDi97q7g3mh5UqVekZz3Ji12t/zlIA3kUPuy9c7zcD5zf1wjuijxJEmAnFCEovHwFYwrgZHs3/exYfheFlB0HhoYFKOppi8eru5jTEZBa5Bn+taJG4fQAAVD1LhKel6lpotx4TqrNRfN6dVttmNn0/PyXFtJ0JiB0foKmYBvbi/PdrxJ5dWxYeBiExR0jIJ5mo8Gl7NO0WiQ6I3abOdO6EIagXYPKFcdaYNxEeWaDw2QM28cNM7RvMpQmSoloeX6RehzL5HChYZx5Tj2HO+o3KBxBRl/tMja+sDGRrGVRBHzrcbEb18jOirp9Qv0EgrxEffYj3qAHp2HGFOBRMgeHZlHgvYVmhPHrfdFlfbpXCTsXXY4m7pXjy+q4t4jPsdmU8ZDl2R3LYyp3ZShnTEPOmZp+8d54HUaKYGEXoc9acNt0YTiRYyfiw/e8p73Zp4TZfAUQ7pKWbiBAWadhmTweo2iaPDAwvIVGp8avOe3TwbSc5poP7Lw0tpi9XWe/kOwoZ6g32VlEKFrUCF2JLDNaspuUb4u4OMypB6F5yW5fiHXmUWlTXG4h4yMTrGNS88GsJ19nVb+IcYbkBtu43iM5ZNGdEAfDxBmCyhbq/mFrqiy0SL5g9Bv3e6K25wKdsIHwDDL4zu/wFlvSBfvY6rB8vL970A5pmIW/x9R//gBlFcnq1uwB/CqLC/w7WNw1aJKR8+CSoD5H4FUck0EeRPW/Mnt2g7hDFDdaupiUNYcvXyxlwycCJGgAOfxlVQsSptFqYaRIE6G0fXogi+j58xeBOXGB7tdJQMjv/R6bh0thFqUlTOLST2N7+SKkoUX/6FhrHEc4sodi+/nBxKoa9G7XR8SrU9FWolkE2AsS5qvbh13KsPRxrYMKWKe5NoTr+pYSmZPyPYjvRw6y2VwbM8ecLNxU258NIcrjmmYpSr5aE/SO36GLNuPp2R1iK1W1dO5xlvTMh7ixiM8dOzeMSLWG9pncS/8W+YdJyHGfBDH4i8dNTOhDmKSxFS+IKJxhs0IDjooadxCtzA58QCnC5JeI4lXIAxKqbQtMBbsJtxecVQHWYMs/Cf/DN4qE1ptH8MijUGxtjIA2Zbt0E3eza+t510HyqAUvHQeDZzsKGWih+JhCJLZRl6eNYnzobmJ2KAEdNQBAJL8YasnCYIwfj+xko8ApZwn2YhAp37NQl5rokGqV2mHsklBsNd58mg0SPI8ID+qkjA3yg3qNkD8V7ZRK01QisVvA3qpfmvtNc5bnPlvtEkcGXjIhK9poWZ80W1s4AhtvZwIPiCDUd21DWWGEfrZsSdzfJLyd2rUTe1xikwFOhPSJgo3KKkTANe2oV4H2qoUTZMje8xwizeZR8VA/mGfBxktrTC/ddsl/I816kpuRx4wIasj5q3jS64qnxJK62NAa17aZkHZZWagk0ibfho+WuHZcK2hXa5Sl2mbKxS74nF8i4q3mzFPy+t0m2d0TtsngnAIRFonhyzzuCnGhSav2ssD/aMslp21RTZ/RTYWgF2eiJj3Kwk/BIyZQKB7Hudt7JjfnpuZaN3/sLECT/zHRaY9DexNPKONbGowiZh3w9uQSXZV5EZ5Lh6LC7bi7LAZURIVMg4vsswhwgkIkzg+1g2w8ryR9rxPMO0tGXpHij3VEUk/tngqTjvlr7ZllepfVUk1EsPthD75QwI3OstF0ObZYm6klfulYCr82tqxHaFNCyxxYFSAij86nZKKZUfiLGsdyQSWn0P1TVaIiQQW+sUQu2Nu3MvCR0NBqlQl3rcCwk2XtIH8KLDcHJSxs8c461xqaQiLFGWDOokiwYod1hzR6Ztlrfm3QfzHATsmEYA/P3wXDsF7qYVRqgIXD5RRDqOzQw57liFwO5cel2WwuU2TmDAJZOOoDYzKZ7tIm255HN1Z9IhyQHNuhFHaTg+636ykAvHhyzjS+umVrClwP5flPAOUKRmgPt2eIl6qfnZmoqevKy6BaKI5GBuMpPqGnm9zVxyvKtwryMinlyKFaS+nIb0OS2ovhITj2WaGUsWYfwNupSbqJQe2tuiTFBz0ucd3RNsTo1mUhu4oc7v3tshWHFUdL6vJhtAxX33ErJs8ouBnX38/hGV6DLOy+ouhC+/TYZczmZs3rXz2VvfJvgnyD8BJQ4duJeZ5aSx81aRW4wL0qRsOTE8yyauUVsNkBYoltvIjRLWeXVGwlwxsMSt2qggu3v7xhXgBq5joaoehgTKw6c1ijewU+/xAOygE9i7ZErhGqKdFNOerMA9OQRLBX9FawJ5l0xhtwf8IYWdLjWArlyTXvy1GyNkBnIcCVSszT3sEJiOfzF3jlgMYS20U9wGZJb1kuNRhBcrxHLupmR6gxY23kZIkx2F6XqObnVaReV6kBAZRe1B3kbK1yWJ/D4xPPX6nXXp+5N1N+vHUZsZNqVM0OnVflXncAIl05+d98xxbzb8GJUhmmpejcT4BEfGQIqTUyQQV+NBJtXI+VpLGcddJ1CW+IvPUOFE048Jpkjyhl7r99NRu7ZWJyD7HYvqk+EvaMqQ+hfnTGcybt5k6jNzWLXe8WA21ZAW2aXVJ8c1HmiAB+oekt1of/UQOr8S8j9KH6LP98tHPtFKibcFzdjtuuFSV6PDR1ZnHxD+ONdHubSp5OcgWNYhk0QrX3DACx8lCJg3DPgY5LyWGVBQuZB50wOtnjXzugp08LKpk4P3xJwkUXiwaolpddeZ5Nn3averb4Re6WFwF3tKWQkyJJ8IzNhKzfo6CeRH3rA816YrSZgnE/9wtTZpgXKpSIcJPRcuJ/ZBhLK9QBtZKzJt68V4rugF5k0XV84T/fWhbFIhUjBB+DYwSFpTNETaN9ge6dNTzzvfw2Jm9Tw9zUv2TKmFqP5sauuAg/Agl3WSWHHrm77en8GnuvVBzAt8Cj7e58MpiBDCi/jQ8yCdg+DKWT9lEZIDOP49n8GFU4gL8r6qkDT3hyXyyHqkmQORWBS/TEHW6K5n6B6F0890uhhYA+1IDnuA4svOtzlXaer2miV+xSt56/VDZF+cWIOPlDfvW/C5g1UMQWfDkj+hpJxhvb9iAV+MXuKzN1qhRo0aNGjVq1KhRo0aNGjVq1KhRo0aNGjVq1Khxv/g/perM2PHChgoAAAAASUVORK5CYII="/>
        <xdr:cNvSpPr>
          <a:spLocks noChangeAspect="1" noChangeArrowheads="1"/>
        </xdr:cNvSpPr>
      </xdr:nvSpPr>
      <xdr:spPr bwMode="auto">
        <a:xfrm>
          <a:off x="3170296" y="1100667"/>
          <a:ext cx="304800" cy="305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5364"/>
    <xdr:sp macro="" textlink="">
      <xdr:nvSpPr>
        <xdr:cNvPr id="8" name="AutoShape 1" descr="data:image/png;base64,iVBORw0KGgoAAAANSUhEUgAAAbwAAABxCAMAAACZb+YzAAAAw1BMVEX///8AAD15gZTs7vEiP2dvepDK0NkzR2m/xtGQnK4AJVIUNmH09fcAIlD5+vsAH1Hg4ubX3OMAEEhsfJUTL1kAEEs/UHBIWHUAGkwMK1aYpLQAHU2Bj6QAF0qLlKamrbnl6OwgNlxbZ4DS1+AsRm2wt8PByNIAAENgb4lRYn6Bi52fqbkAK1l0g5oAFk0eO2Rtd4w7S2ovQmQAADQ5UnZKXn1CWXtdb4wAACxxeo5FVHGqtcREXH1VYnt6iqE6U3YAAEhIHpcNAAASa0lEQVR4nO1da3uquhJmFeUSEwRBJSIYqlhQUeup9Wzduz3//1cdbkKCXV0LtbsuH94vXCQXZ3KZmUwmHFejRo0aNWrUqFGjRo0aNWrUqFGjRo0aNb4AU3lQhkD/Lsjj76rahYAHmXx3Hb4YDjIMAy0zmIvoYVT8qr7iifDzxOdAUT9+z5PrlsNBue0Or5znrWEFcMNTMwg6wmbBvHnbHX2S9CyojdWQP3mrhcg/fXsheH35Sq6d6U1BABg1Yf6oI+vIL2UOelcYM6FKA3JkhsVSb1YOC9H5SY88v6AIjtnTLs32lqEMkWF7+SNv5D3Pc1fXmO+mP7oFnqSoRK+39Ogv4KAbXKEkjy5okZYwXK6v3qFvCeQR4FbePqHeyZin+p2rjJlkRCPpX9MGnlJfDEBwjf6hnhbEwS0YKFfI+2YhtQz0mD95/xkkV2WOX7+s0Y7sfjFKTsXu141tXvu+B07oWIY5OD7xXvpn1aAz/7o2+4KdY+Z809p9WTmRvGx7v/7qD4YWAOyS0sspML6wyXrd7XGWkxrLi2WVnwO+2QH5uuxvAJ6LwT/sKzjM/7T3PplMGjLkxvE1rDiWKnIjTnaI8oluGscebljZHZzZf6edUNvGX75ETQaukhKrFaQlibZRXt5LnE/W4TzTvutxk+MeMDZYWvE7M2eTtwJoTeKbjhFW7iWKYwAzHiThzDKco1Ki2w9p9lrfPspFWgOArRRzUtoi4MCPcvuknIMI0JZPkjdAY54lFxrL+x43OVXEoM80UDKxCup5bTCLiTLtNM+QYaCDzTmXcDGfWbm5nemQwmqZa33eEs3SXjjv7KqXJCNrnt4FKDy+1Lamc9fyJscdTAM80ORS25SlhZM7m6j5km1w1uyk+mBFov4woagodFqptuCZizxTpZH28GimAmd0F0lEenLDP+Ncb9QCS79z5nEBMAyJelY7JkU+6EeyvdJcfTx7KGPpBEy/Ge9tnVO3PqHyN60kfyibjeL10NokLNU2HzYTfnpaEPUzXCMjuTkYfv6S+FZQcQD+46C2cJtu7FrHpukyXlnNt/bxDS8faObAcCOW4LIGsIOLh+GWtqKQdto4+DeLsj9qmXFulIyznDKVp3SvGb+XyxEndDEDtxNXUQmXRVER817vnXncq/lIN3ZhyTCP8xYGzmes8bJHMwfqi1YJ7ZK5Swe4RxtVOLKwEtMHr1tbkr/lt1YzelJe0vzh0JzRrURolMtpLehMhWdLTy4US8na2t4784b2M0NcdtiMpQ0L5QwZW/2qC0UTxJrAIubJp8zjpkszyll6cpInOESzSnJLE2yi7x1avlTvf9gU2u6ceaEilnnTVxcvc0JCvqIMMMAuYiRVsjATAw4fWn+T4rXWsKPXu3zZAVaju+cao0hEobua+njvAgvpoRlLJiJatKKl9ZuHHtqmVOAJIdXoMV3JgwWm7dzETqVZOLReSPEaOuaEJ91M0I/KqagwiOiR8xhJdfxy56oCH6KgRCVeNynhEIaRVjY6znqHnR9Wslpo/R2nzDr0wDzugGROVeZmi55rpZYtvOF0ulV0PxhVI3xo7acPE2bybpj3raTPXVBeT1NG9mtBA9n1YlqiTUJVVe7uq8x5xH/VYku3Scn/I3uSslJCS7ohRGqZv3rMOCZtu3I15qlPbjCR6UHEazfu2jw27dmFbQxK0+S/T9so7yhznDiDkAXuJ0xWn/oVFk/hrJW0fW+BCvXrzcwEGEFkzVcyMKxDdq84VZnHvWLMSMJ8aF/fv+KGQPylXrRV9TUdLqO3w4xwUcdMmMcvMNjGJK/EPKLjVHGQouS54PduZ5Os6pshzSBpA1bHe1idebLFGkVJ466XhKDTfifFo9DR0yfvKF062HVxJLtPN67rGrHVvwrz4KvhupH8rxyibFwcZKV0G0eaDqwlTW2l2c3l3jOYx7cbtH6qyJ3zTHp/CKR2gxpnlOEys3HyTfvtJ0mqDZsfQbdycWjc79B9Q1kvcl6ew7wGo5Foq9Y9dzytAd4IfwTxDHQ0UAu9rvRxmouZp5qrgqYD3KI45LnU/FudeUOXrjPvV9Ty/yzAALn+7OEI38AonzOi6Uf6kHaXMo/3rTdIPS0LTYz4E1JUrjLzNOTT2qluhuSn3/75kC0j4lcOgA2rcLcStsD5SM6+kHn80HxkxrZJ4uKlDLxojkKU50wl5pGoqtDHlBejt106d9zvuDHqdkr4UayYcmQwKTvIxhC6+wuYpzURvTgUQX0B0egGNys5dOmflGHn960j2rI/9M23/HveMfzpXVs1FfUEGt1YFV47Fdak965Z2TJ9BB+6i3mZpnzY7s3JswmWzLrREHfQ8Hfpr7Ut6ymgX4zvmnVnQvMkySNnJib6CeuS128yP9f1A/Nbstr6u12PH+r69Nef1ahRQCGaFg9PUBsL5LsrU6Ma4GErrnac5oiLdkVvxRrfDjLfoK0QvIjA+plVowT+ZEPr4HDXy1Y3DPIPeNmNVM1/+k3maU9mCctJLVx9D/hHYMT2WNX7TQWKvA3LuO8F4xtGxLzGd9ehxpngH5F4xeyE//6ocQb+e9YSxJWZp/71UOMM/HWW3agy8+BYGLMQ7tpV45ZRmXnqS6+MXS2wfA9o5sEISnJROCV+iFQAJXuZQ21MGiX8XTPve0AxD056+95QUV72z4FKNvt9z1e5cWPfY7yiFP4U31HxGmzPU18TbzW168fmzoX5V8wV2BF/4pNQ47uhBoXDG6eJS4mD+iOJH+bdxKNGXTiXlhF7qX/QX2tQOMdIxcsuQiNyfJTchSa/p6MkWST7DR3x4hhBux9PT8tVeaasQaFVNVxCjOm62Wyuj47CnOLgbSNbWIRhZxAJLovZpbzjjI3v+80an2A9OGfPfdpp82e1b/aO91M7ULkDvrjjad2QqPW4+TmuYduX3lvGsR+qLxHj+pcHCRoa9+x+ejsYi3Opu8mkS2X0JB+sy0XNd7HWJf4FqP4QcvLy6GQ/Ft/Fvy/OlGD/1x/VuBRaEAeqUxZmvLc+Amki+3K3qAOI1wt5LfaWKdz8ogdCfaRA7doWUomZRxTive22jAPZaZUY50OOv77R9sDsyobaPNxt/avE0laD1ftB4Q6ieIzz5eHgcstXaMW1O4Bup9M+Lr53n7qdJyroGH8IVtf2oQmALhS1PyAjHDi97q7g3mh5UqVekZz3Ji12t/zlIA3kUPuy9c7zcD5zf1wjuijxJEmAnFCEovHwFYwrgZHs3/exYfheFlB0HhoYFKOppi8eru5jTEZBa5Bn+taJG4fQAAVD1LhKel6lpotx4TqrNRfN6dVttmNn0/PyXFtJ0JiB0foKmYBvbi/PdrxJ5dWxYeBiExR0jIJ5mo8Gl7NO0WiQ6I3abOdO6EIagXYPKFcdaYNxEeWaDw2QM28cNM7RvMpQmSoloeX6RehzL5HChYZx5Tj2HO+o3KBxBRl/tMja+sDGRrGVRBHzrcbEb18jOirp9Qv0EgrxEffYj3qAHp2HGFOBRMgeHZlHgvYVmhPHrfdFlfbpXCTsXXY4m7pXjy+q4t4jPsdmU8ZDl2R3LYyp3ZShnTEPOmZp+8d54HUaKYGEXoc9acNt0YTiRYyfiw/e8p73Zp4TZfAUQ7pKWbiBAWadhmTweo2iaPDAwvIVGp8avOe3TwbSc5poP7Lw0tpi9XWe/kOwoZ6g32VlEKFrUCF2JLDNaspuUb4u4OMypB6F5yW5fiHXmUWlTXG4h4yMTrGNS88GsJ19nVb+IcYbkBtu43iM5ZNGdEAfDxBmCyhbq/mFrqiy0SL5g9Bv3e6K25wKdsIHwDDL4zu/wFlvSBfvY6rB8vL970A5pmIW/x9R//gBlFcnq1uwB/CqLC/w7WNw1aJKR8+CSoD5H4FUck0EeRPW/Mnt2g7hDFDdaupiUNYcvXyxlwycCJGgAOfxlVQsSptFqYaRIE6G0fXogi+j58xeBOXGB7tdJQMjv/R6bh0thFqUlTOLST2N7+SKkoUX/6FhrHEc4sodi+/nBxKoa9G7XR8SrU9FWolkE2AsS5qvbh13KsPRxrYMKWKe5NoTr+pYSmZPyPYjvRw6y2VwbM8ecLNxU258NIcrjmmYpSr5aE/SO36GLNuPp2R1iK1W1dO5xlvTMh7ixiM8dOzeMSLWG9pncS/8W+YdJyHGfBDH4i8dNTOhDmKSxFS+IKJxhs0IDjooadxCtzA58QCnC5JeI4lXIAxKqbQtMBbsJtxecVQHWYMs/Cf/DN4qE1ptH8MijUGxtjIA2Zbt0E3eza+t510HyqAUvHQeDZzsKGWih+JhCJLZRl6eNYnzobmJ2KAEdNQBAJL8YasnCYIwfj+xko8ApZwn2YhAp37NQl5rokGqV2mHsklBsNd58mg0SPI8ID+qkjA3yg3qNkD8V7ZRK01QisVvA3qpfmvtNc5bnPlvtEkcGXjIhK9poWZ80W1s4AhtvZwIPiCDUd21DWWGEfrZsSdzfJLyd2rUTe1xikwFOhPSJgo3KKkTANe2oV4H2qoUTZMje8xwizeZR8VA/mGfBxktrTC/ddsl/I816kpuRx4wIasj5q3jS64qnxJK62NAa17aZkHZZWagk0ibfho+WuHZcK2hXa5Sl2mbKxS74nF8i4q3mzFPy+t0m2d0TtsngnAIRFonhyzzuCnGhSav2ssD/aMslp21RTZ/RTYWgF2eiJj3Kwk/BIyZQKB7Hudt7JjfnpuZaN3/sLECT/zHRaY9DexNPKONbGowiZh3w9uQSXZV5EZ5Lh6LC7bi7LAZURIVMg4vsswhwgkIkzg+1g2w8ryR9rxPMO0tGXpHij3VEUk/tngqTjvlr7ZllepfVUk1EsPthD75QwI3OstF0ObZYm6klfulYCr82tqxHaFNCyxxYFSAij86nZKKZUfiLGsdyQSWn0P1TVaIiQQW+sUQu2Nu3MvCR0NBqlQl3rcCwk2XtIH8KLDcHJSxs8c461xqaQiLFGWDOokiwYod1hzR6Ztlrfm3QfzHATsmEYA/P3wXDsF7qYVRqgIXD5RRDqOzQw57liFwO5cel2WwuU2TmDAJZOOoDYzKZ7tIm255HN1Z9IhyQHNuhFHaTg+636ykAvHhyzjS+umVrClwP5flPAOUKRmgPt2eIl6qfnZmoqevKy6BaKI5GBuMpPqGnm9zVxyvKtwryMinlyKFaS+nIb0OS2ovhITj2WaGUsWYfwNupSbqJQe2tuiTFBz0ucd3RNsTo1mUhu4oc7v3tshWHFUdL6vJhtAxX33ErJs8ouBnX38/hGV6DLOy+ouhC+/TYZczmZs3rXz2VvfJvgnyD8BJQ4duJeZ5aSx81aRW4wL0qRsOTE8yyauUVsNkBYoltvIjRLWeXVGwlwxsMSt2qggu3v7xhXgBq5joaoehgTKw6c1ijewU+/xAOygE9i7ZErhGqKdFNOerMA9OQRLBX9FawJ5l0xhtwf8IYWdLjWArlyTXvy1GyNkBnIcCVSszT3sEJiOfzF3jlgMYS20U9wGZJb1kuNRhBcrxHLupmR6gxY23kZIkx2F6XqObnVaReV6kBAZRe1B3kbK1yWJ/D4xPPX6nXXp+5N1N+vHUZsZNqVM0OnVflXncAIl05+d98xxbzb8GJUhmmpejcT4BEfGQIqTUyQQV+NBJtXI+VpLGcddJ1CW+IvPUOFE048Jpkjyhl7r99NRu7ZWJyD7HYvqk+EvaMqQ+hfnTGcybt5k6jNzWLXe8WA21ZAW2aXVJ8c1HmiAB+oekt1of/UQOr8S8j9KH6LP98tHPtFKibcFzdjtuuFSV6PDR1ZnHxD+ONdHubSp5OcgWNYhk0QrX3DACx8lCJg3DPgY5LyWGVBQuZB50wOtnjXzugp08LKpk4P3xJwkUXiwaolpddeZ5Nn3averb4Re6WFwF3tKWQkyJJ8IzNhKzfo6CeRH3rA816YrSZgnE/9wtTZpgXKpSIcJPRcuJ/ZBhLK9QBtZKzJt68V4rugF5k0XV84T/fWhbFIhUjBB+DYwSFpTNETaN9ge6dNTzzvfw2Jm9Tw9zUv2TKmFqP5sauuAg/Agl3WSWHHrm77en8GnuvVBzAt8Cj7e58MpiBDCi/jQ8yCdg+DKWT9lEZIDOP49n8GFU4gL8r6qkDT3hyXyyHqkmQORWBS/TEHW6K5n6B6F0890uhhYA+1IDnuA4svOtzlXaer2miV+xSt56/VDZF+cWIOPlDfvW/C5g1UMQWfDkj+hpJxhvb9iAV+MXuKzN1qhRo0aNGjVq1KhRo0aNGjVq1KhRo0aNGjVq1Khxv/g/perM2PHChgoAAAAASUVORK5CYII="/>
        <xdr:cNvSpPr>
          <a:spLocks noChangeAspect="1" noChangeArrowheads="1"/>
        </xdr:cNvSpPr>
      </xdr:nvSpPr>
      <xdr:spPr bwMode="auto">
        <a:xfrm>
          <a:off x="3170296" y="1100667"/>
          <a:ext cx="304800" cy="305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5364"/>
    <xdr:sp macro="" textlink="">
      <xdr:nvSpPr>
        <xdr:cNvPr id="9" name="AutoShape 1" descr="data:image/png;base64,iVBORw0KGgoAAAANSUhEUgAAAbwAAABxCAMAAACZb+YzAAAAw1BMVEX///8AAD15gZTs7vEiP2dvepDK0NkzR2m/xtGQnK4AJVIUNmH09fcAIlD5+vsAH1Hg4ubX3OMAEEhsfJUTL1kAEEs/UHBIWHUAGkwMK1aYpLQAHU2Bj6QAF0qLlKamrbnl6OwgNlxbZ4DS1+AsRm2wt8PByNIAAENgb4lRYn6Bi52fqbkAK1l0g5oAFk0eO2Rtd4w7S2ovQmQAADQ5UnZKXn1CWXtdb4wAACxxeo5FVHGqtcREXH1VYnt6iqE6U3YAAEhIHpcNAAASa0lEQVR4nO1da3uquhJmFeUSEwRBJSIYqlhQUeup9Wzduz3//1cdbkKCXV0LtbsuH94vXCQXZ3KZmUwmHFejRo0aNWrUqFGjRo0aNWrUqFGjRo0aNb4AU3lQhkD/Lsjj76rahYAHmXx3Hb4YDjIMAy0zmIvoYVT8qr7iifDzxOdAUT9+z5PrlsNBue0Or5znrWEFcMNTMwg6wmbBvHnbHX2S9CyojdWQP3mrhcg/fXsheH35Sq6d6U1BABg1Yf6oI+vIL2UOelcYM6FKA3JkhsVSb1YOC9H5SY88v6AIjtnTLs32lqEMkWF7+SNv5D3Pc1fXmO+mP7oFnqSoRK+39Ogv4KAbXKEkjy5okZYwXK6v3qFvCeQR4FbePqHeyZin+p2rjJlkRCPpX9MGnlJfDEBwjf6hnhbEwS0YKFfI+2YhtQz0mD95/xkkV2WOX7+s0Y7sfjFKTsXu141tXvu+B07oWIY5OD7xXvpn1aAz/7o2+4KdY+Z809p9WTmRvGx7v/7qD4YWAOyS0sspML6wyXrd7XGWkxrLi2WVnwO+2QH5uuxvAJ6LwT/sKzjM/7T3PplMGjLkxvE1rDiWKnIjTnaI8oluGscebljZHZzZf6edUNvGX75ETQaukhKrFaQlibZRXt5LnE/W4TzTvutxk+MeMDZYWvE7M2eTtwJoTeKbjhFW7iWKYwAzHiThzDKco1Ki2w9p9lrfPspFWgOArRRzUtoi4MCPcvuknIMI0JZPkjdAY54lFxrL+x43OVXEoM80UDKxCup5bTCLiTLtNM+QYaCDzTmXcDGfWbm5nemQwmqZa33eEs3SXjjv7KqXJCNrnt4FKDy+1Lamc9fyJscdTAM80ORS25SlhZM7m6j5km1w1uyk+mBFov4woagodFqptuCZizxTpZH28GimAmd0F0lEenLDP+Ncb9QCS79z5nEBMAyJelY7JkU+6EeyvdJcfTx7KGPpBEy/Ge9tnVO3PqHyN60kfyibjeL10NokLNU2HzYTfnpaEPUzXCMjuTkYfv6S+FZQcQD+46C2cJtu7FrHpukyXlnNt/bxDS8faObAcCOW4LIGsIOLh+GWtqKQdto4+DeLsj9qmXFulIyznDKVp3SvGb+XyxEndDEDtxNXUQmXRVER817vnXncq/lIN3ZhyTCP8xYGzmes8bJHMwfqi1YJ7ZK5Swe4RxtVOLKwEtMHr1tbkr/lt1YzelJe0vzh0JzRrURolMtpLehMhWdLTy4US8na2t4784b2M0NcdtiMpQ0L5QwZW/2qC0UTxJrAIubJp8zjpkszyll6cpInOESzSnJLE2yi7x1avlTvf9gU2u6ceaEilnnTVxcvc0JCvqIMMMAuYiRVsjATAw4fWn+T4rXWsKPXu3zZAVaju+cao0hEobua+njvAgvpoRlLJiJatKKl9ZuHHtqmVOAJIdXoMV3JgwWm7dzETqVZOLReSPEaOuaEJ91M0I/KqagwiOiR8xhJdfxy56oCH6KgRCVeNynhEIaRVjY6znqHnR9Wslpo/R2nzDr0wDzugGROVeZmi55rpZYtvOF0ulV0PxhVI3xo7acPE2bybpj3raTPXVBeT1NG9mtBA9n1YlqiTUJVVe7uq8x5xH/VYku3Scn/I3uSslJCS7ohRGqZv3rMOCZtu3I15qlPbjCR6UHEazfu2jw27dmFbQxK0+S/T9so7yhznDiDkAXuJ0xWn/oVFk/hrJW0fW+BCvXrzcwEGEFkzVcyMKxDdq84VZnHvWLMSMJ8aF/fv+KGQPylXrRV9TUdLqO3w4xwUcdMmMcvMNjGJK/EPKLjVHGQouS54PduZ5Os6pshzSBpA1bHe1idebLFGkVJ466XhKDTfifFo9DR0yfvKF062HVxJLtPN67rGrHVvwrz4KvhupH8rxyibFwcZKV0G0eaDqwlTW2l2c3l3jOYx7cbtH6qyJ3zTHp/CKR2gxpnlOEys3HyTfvtJ0mqDZsfQbdycWjc79B9Q1kvcl6ew7wGo5Foq9Y9dzytAd4IfwTxDHQ0UAu9rvRxmouZp5qrgqYD3KI45LnU/FudeUOXrjPvV9Ty/yzAALn+7OEI38AonzOi6Uf6kHaXMo/3rTdIPS0LTYz4E1JUrjLzNOTT2qluhuSn3/75kC0j4lcOgA2rcLcStsD5SM6+kHn80HxkxrZJ4uKlDLxojkKU50wl5pGoqtDHlBejt106d9zvuDHqdkr4UayYcmQwKTvIxhC6+wuYpzURvTgUQX0B0egGNys5dOmflGHn960j2rI/9M23/HveMfzpXVs1FfUEGt1YFV47Fdak965Z2TJ9BB+6i3mZpnzY7s3JswmWzLrREHfQ8Hfpr7Ut6ymgX4zvmnVnQvMkySNnJib6CeuS128yP9f1A/Nbstr6u12PH+r69Nef1ahRQCGaFg9PUBsL5LsrU6Ma4GErrnac5oiLdkVvxRrfDjLfoK0QvIjA+plVowT+ZEPr4HDXy1Y3DPIPeNmNVM1/+k3maU9mCctJLVx9D/hHYMT2WNX7TQWKvA3LuO8F4xtGxLzGd9ehxpngH5F4xeyE//6ocQb+e9YSxJWZp/71UOMM/HWW3agy8+BYGLMQ7tpV45ZRmXnqS6+MXS2wfA9o5sEISnJROCV+iFQAJXuZQ21MGiX8XTPve0AxD056+95QUV72z4FKNvt9z1e5cWPfY7yiFP4U31HxGmzPU18TbzW168fmzoX5V8wV2BF/4pNQ47uhBoXDG6eJS4mD+iOJH+bdxKNGXTiXlhF7qX/QX2tQOMdIxcsuQiNyfJTchSa/p6MkWST7DR3x4hhBux9PT8tVeaasQaFVNVxCjOm62Wyuj47CnOLgbSNbWIRhZxAJLovZpbzjjI3v+80an2A9OGfPfdpp82e1b/aO91M7ULkDvrjjad2QqPW4+TmuYduX3lvGsR+qLxHj+pcHCRoa9+x+ejsYi3Opu8mkS2X0JB+sy0XNd7HWJf4FqP4QcvLy6GQ/Ft/Fvy/OlGD/1x/VuBRaEAeqUxZmvLc+Amki+3K3qAOI1wt5LfaWKdz8ogdCfaRA7doWUomZRxTive22jAPZaZUY50OOv77R9sDsyobaPNxt/avE0laD1ftB4Q6ieIzz5eHgcstXaMW1O4Bup9M+Lr53n7qdJyroGH8IVtf2oQmALhS1PyAjHDi97q7g3mh5UqVekZz3Ji12t/zlIA3kUPuy9c7zcD5zf1wjuijxJEmAnFCEovHwFYwrgZHs3/exYfheFlB0HhoYFKOppi8eru5jTEZBa5Bn+taJG4fQAAVD1LhKel6lpotx4TqrNRfN6dVttmNn0/PyXFtJ0JiB0foKmYBvbi/PdrxJ5dWxYeBiExR0jIJ5mo8Gl7NO0WiQ6I3abOdO6EIagXYPKFcdaYNxEeWaDw2QM28cNM7RvMpQmSoloeX6RehzL5HChYZx5Tj2HO+o3KBxBRl/tMja+sDGRrGVRBHzrcbEb18jOirp9Qv0EgrxEffYj3qAHp2HGFOBRMgeHZlHgvYVmhPHrfdFlfbpXCTsXXY4m7pXjy+q4t4jPsdmU8ZDl2R3LYyp3ZShnTEPOmZp+8d54HUaKYGEXoc9acNt0YTiRYyfiw/e8p73Zp4TZfAUQ7pKWbiBAWadhmTweo2iaPDAwvIVGp8avOe3TwbSc5poP7Lw0tpi9XWe/kOwoZ6g32VlEKFrUCF2JLDNaspuUb4u4OMypB6F5yW5fiHXmUWlTXG4h4yMTrGNS88GsJ19nVb+IcYbkBtu43iM5ZNGdEAfDxBmCyhbq/mFrqiy0SL5g9Bv3e6K25wKdsIHwDDL4zu/wFlvSBfvY6rB8vL970A5pmIW/x9R//gBlFcnq1uwB/CqLC/w7WNw1aJKR8+CSoD5H4FUck0EeRPW/Mnt2g7hDFDdaupiUNYcvXyxlwycCJGgAOfxlVQsSptFqYaRIE6G0fXogi+j58xeBOXGB7tdJQMjv/R6bh0thFqUlTOLST2N7+SKkoUX/6FhrHEc4sodi+/nBxKoa9G7XR8SrU9FWolkE2AsS5qvbh13KsPRxrYMKWKe5NoTr+pYSmZPyPYjvRw6y2VwbM8ecLNxU258NIcrjmmYpSr5aE/SO36GLNuPp2R1iK1W1dO5xlvTMh7ixiM8dOzeMSLWG9pncS/8W+YdJyHGfBDH4i8dNTOhDmKSxFS+IKJxhs0IDjooadxCtzA58QCnC5JeI4lXIAxKqbQtMBbsJtxecVQHWYMs/Cf/DN4qE1ptH8MijUGxtjIA2Zbt0E3eza+t510HyqAUvHQeDZzsKGWih+JhCJLZRl6eNYnzobmJ2KAEdNQBAJL8YasnCYIwfj+xko8ApZwn2YhAp37NQl5rokGqV2mHsklBsNd58mg0SPI8ID+qkjA3yg3qNkD8V7ZRK01QisVvA3qpfmvtNc5bnPlvtEkcGXjIhK9poWZ80W1s4AhtvZwIPiCDUd21DWWGEfrZsSdzfJLyd2rUTe1xikwFOhPSJgo3KKkTANe2oV4H2qoUTZMje8xwizeZR8VA/mGfBxktrTC/ddsl/I816kpuRx4wIasj5q3jS64qnxJK62NAa17aZkHZZWagk0ibfho+WuHZcK2hXa5Sl2mbKxS74nF8i4q3mzFPy+t0m2d0TtsngnAIRFonhyzzuCnGhSav2ssD/aMslp21RTZ/RTYWgF2eiJj3Kwk/BIyZQKB7Hudt7JjfnpuZaN3/sLECT/zHRaY9DexNPKONbGowiZh3w9uQSXZV5EZ5Lh6LC7bi7LAZURIVMg4vsswhwgkIkzg+1g2w8ryR9rxPMO0tGXpHij3VEUk/tngqTjvlr7ZllepfVUk1EsPthD75QwI3OstF0ObZYm6klfulYCr82tqxHaFNCyxxYFSAij86nZKKZUfiLGsdyQSWn0P1TVaIiQQW+sUQu2Nu3MvCR0NBqlQl3rcCwk2XtIH8KLDcHJSxs8c461xqaQiLFGWDOokiwYod1hzR6Ztlrfm3QfzHATsmEYA/P3wXDsF7qYVRqgIXD5RRDqOzQw57liFwO5cel2WwuU2TmDAJZOOoDYzKZ7tIm255HN1Z9IhyQHNuhFHaTg+636ykAvHhyzjS+umVrClwP5flPAOUKRmgPt2eIl6qfnZmoqevKy6BaKI5GBuMpPqGnm9zVxyvKtwryMinlyKFaS+nIb0OS2ovhITj2WaGUsWYfwNupSbqJQe2tuiTFBz0ucd3RNsTo1mUhu4oc7v3tshWHFUdL6vJhtAxX33ErJs8ouBnX38/hGV6DLOy+ouhC+/TYZczmZs3rXz2VvfJvgnyD8BJQ4duJeZ5aSx81aRW4wL0qRsOTE8yyauUVsNkBYoltvIjRLWeXVGwlwxsMSt2qggu3v7xhXgBq5joaoehgTKw6c1ijewU+/xAOygE9i7ZErhGqKdFNOerMA9OQRLBX9FawJ5l0xhtwf8IYWdLjWArlyTXvy1GyNkBnIcCVSszT3sEJiOfzF3jlgMYS20U9wGZJb1kuNRhBcrxHLupmR6gxY23kZIkx2F6XqObnVaReV6kBAZRe1B3kbK1yWJ/D4xPPX6nXXp+5N1N+vHUZsZNqVM0OnVflXncAIl05+d98xxbzb8GJUhmmpejcT4BEfGQIqTUyQQV+NBJtXI+VpLGcddJ1CW+IvPUOFE048Jpkjyhl7r99NRu7ZWJyD7HYvqk+EvaMqQ+hfnTGcybt5k6jNzWLXe8WA21ZAW2aXVJ8c1HmiAB+oekt1of/UQOr8S8j9KH6LP98tHPtFKibcFzdjtuuFSV6PDR1ZnHxD+ONdHubSp5OcgWNYhk0QrX3DACx8lCJg3DPgY5LyWGVBQuZB50wOtnjXzugp08LKpk4P3xJwkUXiwaolpddeZ5Nn3averb4Re6WFwF3tKWQkyJJ8IzNhKzfo6CeRH3rA816YrSZgnE/9wtTZpgXKpSIcJPRcuJ/ZBhLK9QBtZKzJt68V4rugF5k0XV84T/fWhbFIhUjBB+DYwSFpTNETaN9ge6dNTzzvfw2Jm9Tw9zUv2TKmFqP5sauuAg/Agl3WSWHHrm77en8GnuvVBzAt8Cj7e58MpiBDCi/jQ8yCdg+DKWT9lEZIDOP49n8GFU4gL8r6qkDT3hyXyyHqkmQORWBS/TEHW6K5n6B6F0890uhhYA+1IDnuA4svOtzlXaer2miV+xSt56/VDZF+cWIOPlDfvW/C5g1UMQWfDkj+hpJxhvb9iAV+MXuKzN1qhRo0aNGjVq1KhRo0aNGjVq1KhRo0aNGjVq1Khxv/g/perM2PHChgoAAAAASUVORK5CYII="/>
        <xdr:cNvSpPr>
          <a:spLocks noChangeAspect="1" noChangeArrowheads="1"/>
        </xdr:cNvSpPr>
      </xdr:nvSpPr>
      <xdr:spPr bwMode="auto">
        <a:xfrm>
          <a:off x="3170296" y="1100667"/>
          <a:ext cx="304800" cy="305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5364"/>
    <xdr:sp macro="" textlink="">
      <xdr:nvSpPr>
        <xdr:cNvPr id="10" name="AutoShape 1" descr="data:image/png;base64,iVBORw0KGgoAAAANSUhEUgAAAbwAAABxCAMAAACZb+YzAAAAw1BMVEX///8AAD15gZTs7vEiP2dvepDK0NkzR2m/xtGQnK4AJVIUNmH09fcAIlD5+vsAH1Hg4ubX3OMAEEhsfJUTL1kAEEs/UHBIWHUAGkwMK1aYpLQAHU2Bj6QAF0qLlKamrbnl6OwgNlxbZ4DS1+AsRm2wt8PByNIAAENgb4lRYn6Bi52fqbkAK1l0g5oAFk0eO2Rtd4w7S2ovQmQAADQ5UnZKXn1CWXtdb4wAACxxeo5FVHGqtcREXH1VYnt6iqE6U3YAAEhIHpcNAAASa0lEQVR4nO1da3uquhJmFeUSEwRBJSIYqlhQUeup9Wzduz3//1cdbkKCXV0LtbsuH94vXCQXZ3KZmUwmHFejRo0aNWrUqFGjRo0aNWrUqFGjRo0aNb4AU3lQhkD/Lsjj76rahYAHmXx3Hb4YDjIMAy0zmIvoYVT8qr7iifDzxOdAUT9+z5PrlsNBue0Or5znrWEFcMNTMwg6wmbBvHnbHX2S9CyojdWQP3mrhcg/fXsheH35Sq6d6U1BABg1Yf6oI+vIL2UOelcYM6FKA3JkhsVSb1YOC9H5SY88v6AIjtnTLs32lqEMkWF7+SNv5D3Pc1fXmO+mP7oFnqSoRK+39Ogv4KAbXKEkjy5okZYwXK6v3qFvCeQR4FbePqHeyZin+p2rjJlkRCPpX9MGnlJfDEBwjf6hnhbEwS0YKFfI+2YhtQz0mD95/xkkV2WOX7+s0Y7sfjFKTsXu141tXvu+B07oWIY5OD7xXvpn1aAz/7o2+4KdY+Z809p9WTmRvGx7v/7qD4YWAOyS0sspML6wyXrd7XGWkxrLi2WVnwO+2QH5uuxvAJ6LwT/sKzjM/7T3PplMGjLkxvE1rDiWKnIjTnaI8oluGscebljZHZzZf6edUNvGX75ETQaukhKrFaQlibZRXt5LnE/W4TzTvutxk+MeMDZYWvE7M2eTtwJoTeKbjhFW7iWKYwAzHiThzDKco1Ki2w9p9lrfPspFWgOArRRzUtoi4MCPcvuknIMI0JZPkjdAY54lFxrL+x43OVXEoM80UDKxCup5bTCLiTLtNM+QYaCDzTmXcDGfWbm5nemQwmqZa33eEs3SXjjv7KqXJCNrnt4FKDy+1Lamc9fyJscdTAM80ORS25SlhZM7m6j5km1w1uyk+mBFov4woagodFqptuCZizxTpZH28GimAmd0F0lEenLDP+Ncb9QCS79z5nEBMAyJelY7JkU+6EeyvdJcfTx7KGPpBEy/Ge9tnVO3PqHyN60kfyibjeL10NokLNU2HzYTfnpaEPUzXCMjuTkYfv6S+FZQcQD+46C2cJtu7FrHpukyXlnNt/bxDS8faObAcCOW4LIGsIOLh+GWtqKQdto4+DeLsj9qmXFulIyznDKVp3SvGb+XyxEndDEDtxNXUQmXRVER817vnXncq/lIN3ZhyTCP8xYGzmes8bJHMwfqi1YJ7ZK5Swe4RxtVOLKwEtMHr1tbkr/lt1YzelJe0vzh0JzRrURolMtpLehMhWdLTy4US8na2t4784b2M0NcdtiMpQ0L5QwZW/2qC0UTxJrAIubJp8zjpkszyll6cpInOESzSnJLE2yi7x1avlTvf9gU2u6ceaEilnnTVxcvc0JCvqIMMMAuYiRVsjATAw4fWn+T4rXWsKPXu3zZAVaju+cao0hEobua+njvAgvpoRlLJiJatKKl9ZuHHtqmVOAJIdXoMV3JgwWm7dzETqVZOLReSPEaOuaEJ91M0I/KqagwiOiR8xhJdfxy56oCH6KgRCVeNynhEIaRVjY6znqHnR9Wslpo/R2nzDr0wDzugGROVeZmi55rpZYtvOF0ulV0PxhVI3xo7acPE2bybpj3raTPXVBeT1NG9mtBA9n1YlqiTUJVVe7uq8x5xH/VYku3Scn/I3uSslJCS7ohRGqZv3rMOCZtu3I15qlPbjCR6UHEazfu2jw27dmFbQxK0+S/T9so7yhznDiDkAXuJ0xWn/oVFk/hrJW0fW+BCvXrzcwEGEFkzVcyMKxDdq84VZnHvWLMSMJ8aF/fv+KGQPylXrRV9TUdLqO3w4xwUcdMmMcvMNjGJK/EPKLjVHGQouS54PduZ5Os6pshzSBpA1bHe1idebLFGkVJ466XhKDTfifFo9DR0yfvKF062HVxJLtPN67rGrHVvwrz4KvhupH8rxyibFwcZKV0G0eaDqwlTW2l2c3l3jOYx7cbtH6qyJ3zTHp/CKR2gxpnlOEys3HyTfvtJ0mqDZsfQbdycWjc79B9Q1kvcl6ew7wGo5Foq9Y9dzytAd4IfwTxDHQ0UAu9rvRxmouZp5qrgqYD3KI45LnU/FudeUOXrjPvV9Ty/yzAALn+7OEI38AonzOi6Uf6kHaXMo/3rTdIPS0LTYz4E1JUrjLzNOTT2qluhuSn3/75kC0j4lcOgA2rcLcStsD5SM6+kHn80HxkxrZJ4uKlDLxojkKU50wl5pGoqtDHlBejt106d9zvuDHqdkr4UayYcmQwKTvIxhC6+wuYpzURvTgUQX0B0egGNys5dOmflGHn960j2rI/9M23/HveMfzpXVs1FfUEGt1YFV47Fdak965Z2TJ9BB+6i3mZpnzY7s3JswmWzLrREHfQ8Hfpr7Ut6ymgX4zvmnVnQvMkySNnJib6CeuS128yP9f1A/Nbstr6u12PH+r69Nef1ahRQCGaFg9PUBsL5LsrU6Ma4GErrnac5oiLdkVvxRrfDjLfoK0QvIjA+plVowT+ZEPr4HDXy1Y3DPIPeNmNVM1/+k3maU9mCctJLVx9D/hHYMT2WNX7TQWKvA3LuO8F4xtGxLzGd9ehxpngH5F4xeyE//6ocQb+e9YSxJWZp/71UOMM/HWW3agy8+BYGLMQ7tpV45ZRmXnqS6+MXS2wfA9o5sEISnJROCV+iFQAJXuZQ21MGiX8XTPve0AxD056+95QUV72z4FKNvt9z1e5cWPfY7yiFP4U31HxGmzPU18TbzW168fmzoX5V8wV2BF/4pNQ47uhBoXDG6eJS4mD+iOJH+bdxKNGXTiXlhF7qX/QX2tQOMdIxcsuQiNyfJTchSa/p6MkWST7DR3x4hhBux9PT8tVeaasQaFVNVxCjOm62Wyuj47CnOLgbSNbWIRhZxAJLovZpbzjjI3v+80an2A9OGfPfdpp82e1b/aO91M7ULkDvrjjad2QqPW4+TmuYduX3lvGsR+qLxHj+pcHCRoa9+x+ejsYi3Opu8mkS2X0JB+sy0XNd7HWJf4FqP4QcvLy6GQ/Ft/Fvy/OlGD/1x/VuBRaEAeqUxZmvLc+Amki+3K3qAOI1wt5LfaWKdz8ogdCfaRA7doWUomZRxTive22jAPZaZUY50OOv77R9sDsyobaPNxt/avE0laD1ftB4Q6ieIzz5eHgcstXaMW1O4Bup9M+Lr53n7qdJyroGH8IVtf2oQmALhS1PyAjHDi97q7g3mh5UqVekZz3Ji12t/zlIA3kUPuy9c7zcD5zf1wjuijxJEmAnFCEovHwFYwrgZHs3/exYfheFlB0HhoYFKOppi8eru5jTEZBa5Bn+taJG4fQAAVD1LhKel6lpotx4TqrNRfN6dVttmNn0/PyXFtJ0JiB0foKmYBvbi/PdrxJ5dWxYeBiExR0jIJ5mo8Gl7NO0WiQ6I3abOdO6EIagXYPKFcdaYNxEeWaDw2QM28cNM7RvMpQmSoloeX6RehzL5HChYZx5Tj2HO+o3KBxBRl/tMja+sDGRrGVRBHzrcbEb18jOirp9Qv0EgrxEffYj3qAHp2HGFOBRMgeHZlHgvYVmhPHrfdFlfbpXCTsXXY4m7pXjy+q4t4jPsdmU8ZDl2R3LYyp3ZShnTEPOmZp+8d54HUaKYGEXoc9acNt0YTiRYyfiw/e8p73Zp4TZfAUQ7pKWbiBAWadhmTweo2iaPDAwvIVGp8avOe3TwbSc5poP7Lw0tpi9XWe/kOwoZ6g32VlEKFrUCF2JLDNaspuUb4u4OMypB6F5yW5fiHXmUWlTXG4h4yMTrGNS88GsJ19nVb+IcYbkBtu43iM5ZNGdEAfDxBmCyhbq/mFrqiy0SL5g9Bv3e6K25wKdsIHwDDL4zu/wFlvSBfvY6rB8vL970A5pmIW/x9R//gBlFcnq1uwB/CqLC/w7WNw1aJKR8+CSoD5H4FUck0EeRPW/Mnt2g7hDFDdaupiUNYcvXyxlwycCJGgAOfxlVQsSptFqYaRIE6G0fXogi+j58xeBOXGB7tdJQMjv/R6bh0thFqUlTOLST2N7+SKkoUX/6FhrHEc4sodi+/nBxKoa9G7XR8SrU9FWolkE2AsS5qvbh13KsPRxrYMKWKe5NoTr+pYSmZPyPYjvRw6y2VwbM8ecLNxU258NIcrjmmYpSr5aE/SO36GLNuPp2R1iK1W1dO5xlvTMh7ixiM8dOzeMSLWG9pncS/8W+YdJyHGfBDH4i8dNTOhDmKSxFS+IKJxhs0IDjooadxCtzA58QCnC5JeI4lXIAxKqbQtMBbsJtxecVQHWYMs/Cf/DN4qE1ptH8MijUGxtjIA2Zbt0E3eza+t510HyqAUvHQeDZzsKGWih+JhCJLZRl6eNYnzobmJ2KAEdNQBAJL8YasnCYIwfj+xko8ApZwn2YhAp37NQl5rokGqV2mHsklBsNd58mg0SPI8ID+qkjA3yg3qNkD8V7ZRK01QisVvA3qpfmvtNc5bnPlvtEkcGXjIhK9poWZ80W1s4AhtvZwIPiCDUd21DWWGEfrZsSdzfJLyd2rUTe1xikwFOhPSJgo3KKkTANe2oV4H2qoUTZMje8xwizeZR8VA/mGfBxktrTC/ddsl/I816kpuRx4wIasj5q3jS64qnxJK62NAa17aZkHZZWagk0ibfho+WuHZcK2hXa5Sl2mbKxS74nF8i4q3mzFPy+t0m2d0TtsngnAIRFonhyzzuCnGhSav2ssD/aMslp21RTZ/RTYWgF2eiJj3Kwk/BIyZQKB7Hudt7JjfnpuZaN3/sLECT/zHRaY9DexNPKONbGowiZh3w9uQSXZV5EZ5Lh6LC7bi7LAZURIVMg4vsswhwgkIkzg+1g2w8ryR9rxPMO0tGXpHij3VEUk/tngqTjvlr7ZllepfVUk1EsPthD75QwI3OstF0ObZYm6klfulYCr82tqxHaFNCyxxYFSAij86nZKKZUfiLGsdyQSWn0P1TVaIiQQW+sUQu2Nu3MvCR0NBqlQl3rcCwk2XtIH8KLDcHJSxs8c461xqaQiLFGWDOokiwYod1hzR6Ztlrfm3QfzHATsmEYA/P3wXDsF7qYVRqgIXD5RRDqOzQw57liFwO5cel2WwuU2TmDAJZOOoDYzKZ7tIm255HN1Z9IhyQHNuhFHaTg+636ykAvHhyzjS+umVrClwP5flPAOUKRmgPt2eIl6qfnZmoqevKy6BaKI5GBuMpPqGnm9zVxyvKtwryMinlyKFaS+nIb0OS2ovhITj2WaGUsWYfwNupSbqJQe2tuiTFBz0ucd3RNsTo1mUhu4oc7v3tshWHFUdL6vJhtAxX33ErJs8ouBnX38/hGV6DLOy+ouhC+/TYZczmZs3rXz2VvfJvgnyD8BJQ4duJeZ5aSx81aRW4wL0qRsOTE8yyauUVsNkBYoltvIjRLWeXVGwlwxsMSt2qggu3v7xhXgBq5joaoehgTKw6c1ijewU+/xAOygE9i7ZErhGqKdFNOerMA9OQRLBX9FawJ5l0xhtwf8IYWdLjWArlyTXvy1GyNkBnIcCVSszT3sEJiOfzF3jlgMYS20U9wGZJb1kuNRhBcrxHLupmR6gxY23kZIkx2F6XqObnVaReV6kBAZRe1B3kbK1yWJ/D4xPPX6nXXp+5N1N+vHUZsZNqVM0OnVflXncAIl05+d98xxbzb8GJUhmmpejcT4BEfGQIqTUyQQV+NBJtXI+VpLGcddJ1CW+IvPUOFE048Jpkjyhl7r99NRu7ZWJyD7HYvqk+EvaMqQ+hfnTGcybt5k6jNzWLXe8WA21ZAW2aXVJ8c1HmiAB+oekt1of/UQOr8S8j9KH6LP98tHPtFKibcFzdjtuuFSV6PDR1ZnHxD+ONdHubSp5OcgWNYhk0QrX3DACx8lCJg3DPgY5LyWGVBQuZB50wOtnjXzugp08LKpk4P3xJwkUXiwaolpddeZ5Nn3averb4Re6WFwF3tKWQkyJJ8IzNhKzfo6CeRH3rA816YrSZgnE/9wtTZpgXKpSIcJPRcuJ/ZBhLK9QBtZKzJt68V4rugF5k0XV84T/fWhbFIhUjBB+DYwSFpTNETaN9ge6dNTzzvfw2Jm9Tw9zUv2TKmFqP5sauuAg/Agl3WSWHHrm77en8GnuvVBzAt8Cj7e58MpiBDCi/jQ8yCdg+DKWT9lEZIDOP49n8GFU4gL8r6qkDT3hyXyyHqkmQORWBS/TEHW6K5n6B6F0890uhhYA+1IDnuA4svOtzlXaer2miV+xSt56/VDZF+cWIOPlDfvW/C5g1UMQWfDkj+hpJxhvb9iAV+MXuKzN1qhRo0aNGjVq1KhRo0aNGjVq1KhRo0aNGjVq1Khxv/g/perM2PHChgoAAAAASUVORK5CYII="/>
        <xdr:cNvSpPr>
          <a:spLocks noChangeAspect="1" noChangeArrowheads="1"/>
        </xdr:cNvSpPr>
      </xdr:nvSpPr>
      <xdr:spPr bwMode="auto">
        <a:xfrm>
          <a:off x="3170296" y="1100667"/>
          <a:ext cx="304800" cy="305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5364"/>
    <xdr:sp macro="" textlink="">
      <xdr:nvSpPr>
        <xdr:cNvPr id="11" name="AutoShape 1" descr="data:image/png;base64,iVBORw0KGgoAAAANSUhEUgAAAbwAAABxCAMAAACZb+YzAAAAw1BMVEX///8AAD15gZTs7vEiP2dvepDK0NkzR2m/xtGQnK4AJVIUNmH09fcAIlD5+vsAH1Hg4ubX3OMAEEhsfJUTL1kAEEs/UHBIWHUAGkwMK1aYpLQAHU2Bj6QAF0qLlKamrbnl6OwgNlxbZ4DS1+AsRm2wt8PByNIAAENgb4lRYn6Bi52fqbkAK1l0g5oAFk0eO2Rtd4w7S2ovQmQAADQ5UnZKXn1CWXtdb4wAACxxeo5FVHGqtcREXH1VYnt6iqE6U3YAAEhIHpcNAAASa0lEQVR4nO1da3uquhJmFeUSEwRBJSIYqlhQUeup9Wzduz3//1cdbkKCXV0LtbsuH94vXCQXZ3KZmUwmHFejRo0aNWrUqFGjRo0aNWrUqFGjRo0aNb4AU3lQhkD/Lsjj76rahYAHmXx3Hb4YDjIMAy0zmIvoYVT8qr7iifDzxOdAUT9+z5PrlsNBue0Or5znrWEFcMNTMwg6wmbBvHnbHX2S9CyojdWQP3mrhcg/fXsheH35Sq6d6U1BABg1Yf6oI+vIL2UOelcYM6FKA3JkhsVSb1YOC9H5SY88v6AIjtnTLs32lqEMkWF7+SNv5D3Pc1fXmO+mP7oFnqSoRK+39Ogv4KAbXKEkjy5okZYwXK6v3qFvCeQR4FbePqHeyZin+p2rjJlkRCPpX9MGnlJfDEBwjf6hnhbEwS0YKFfI+2YhtQz0mD95/xkkV2WOX7+s0Y7sfjFKTsXu141tXvu+B07oWIY5OD7xXvpn1aAz/7o2+4KdY+Z809p9WTmRvGx7v/7qD4YWAOyS0sspML6wyXrd7XGWkxrLi2WVnwO+2QH5uuxvAJ6LwT/sKzjM/7T3PplMGjLkxvE1rDiWKnIjTnaI8oluGscebljZHZzZf6edUNvGX75ETQaukhKrFaQlibZRXt5LnE/W4TzTvutxk+MeMDZYWvE7M2eTtwJoTeKbjhFW7iWKYwAzHiThzDKco1Ki2w9p9lrfPspFWgOArRRzUtoi4MCPcvuknIMI0JZPkjdAY54lFxrL+x43OVXEoM80UDKxCup5bTCLiTLtNM+QYaCDzTmXcDGfWbm5nemQwmqZa33eEs3SXjjv7KqXJCNrnt4FKDy+1Lamc9fyJscdTAM80ORS25SlhZM7m6j5km1w1uyk+mBFov4woagodFqptuCZizxTpZH28GimAmd0F0lEenLDP+Ncb9QCS79z5nEBMAyJelY7JkU+6EeyvdJcfTx7KGPpBEy/Ge9tnVO3PqHyN60kfyibjeL10NokLNU2HzYTfnpaEPUzXCMjuTkYfv6S+FZQcQD+46C2cJtu7FrHpukyXlnNt/bxDS8faObAcCOW4LIGsIOLh+GWtqKQdto4+DeLsj9qmXFulIyznDKVp3SvGb+XyxEndDEDtxNXUQmXRVER817vnXncq/lIN3ZhyTCP8xYGzmes8bJHMwfqi1YJ7ZK5Swe4RxtVOLKwEtMHr1tbkr/lt1YzelJe0vzh0JzRrURolMtpLehMhWdLTy4US8na2t4784b2M0NcdtiMpQ0L5QwZW/2qC0UTxJrAIubJp8zjpkszyll6cpInOESzSnJLE2yi7x1avlTvf9gU2u6ceaEilnnTVxcvc0JCvqIMMMAuYiRVsjATAw4fWn+T4rXWsKPXu3zZAVaju+cao0hEobua+njvAgvpoRlLJiJatKKl9ZuHHtqmVOAJIdXoMV3JgwWm7dzETqVZOLReSPEaOuaEJ91M0I/KqagwiOiR8xhJdfxy56oCH6KgRCVeNynhEIaRVjY6znqHnR9Wslpo/R2nzDr0wDzugGROVeZmi55rpZYtvOF0ulV0PxhVI3xo7acPE2bybpj3raTPXVBeT1NG9mtBA9n1YlqiTUJVVe7uq8x5xH/VYku3Scn/I3uSslJCS7ohRGqZv3rMOCZtu3I15qlPbjCR6UHEazfu2jw27dmFbQxK0+S/T9so7yhznDiDkAXuJ0xWn/oVFk/hrJW0fW+BCvXrzcwEGEFkzVcyMKxDdq84VZnHvWLMSMJ8aF/fv+KGQPylXrRV9TUdLqO3w4xwUcdMmMcvMNjGJK/EPKLjVHGQouS54PduZ5Os6pshzSBpA1bHe1idebLFGkVJ466XhKDTfifFo9DR0yfvKF062HVxJLtPN67rGrHVvwrz4KvhupH8rxyibFwcZKV0G0eaDqwlTW2l2c3l3jOYx7cbtH6qyJ3zTHp/CKR2gxpnlOEys3HyTfvtJ0mqDZsfQbdycWjc79B9Q1kvcl6ew7wGo5Foq9Y9dzytAd4IfwTxDHQ0UAu9rvRxmouZp5qrgqYD3KI45LnU/FudeUOXrjPvV9Ty/yzAALn+7OEI38AonzOi6Uf6kHaXMo/3rTdIPS0LTYz4E1JUrjLzNOTT2qluhuSn3/75kC0j4lcOgA2rcLcStsD5SM6+kHn80HxkxrZJ4uKlDLxojkKU50wl5pGoqtDHlBejt106d9zvuDHqdkr4UayYcmQwKTvIxhC6+wuYpzURvTgUQX0B0egGNys5dOmflGHn960j2rI/9M23/HveMfzpXVs1FfUEGt1YFV47Fdak965Z2TJ9BB+6i3mZpnzY7s3JswmWzLrREHfQ8Hfpr7Ut6ymgX4zvmnVnQvMkySNnJib6CeuS128yP9f1A/Nbstr6u12PH+r69Nef1ahRQCGaFg9PUBsL5LsrU6Ma4GErrnac5oiLdkVvxRrfDjLfoK0QvIjA+plVowT+ZEPr4HDXy1Y3DPIPeNmNVM1/+k3maU9mCctJLVx9D/hHYMT2WNX7TQWKvA3LuO8F4xtGxLzGd9ehxpngH5F4xeyE//6ocQb+e9YSxJWZp/71UOMM/HWW3agy8+BYGLMQ7tpV45ZRmXnqS6+MXS2wfA9o5sEISnJROCV+iFQAJXuZQ21MGiX8XTPve0AxD056+95QUV72z4FKNvt9z1e5cWPfY7yiFP4U31HxGmzPU18TbzW168fmzoX5V8wV2BF/4pNQ47uhBoXDG6eJS4mD+iOJH+bdxKNGXTiXlhF7qX/QX2tQOMdIxcsuQiNyfJTchSa/p6MkWST7DR3x4hhBux9PT8tVeaasQaFVNVxCjOm62Wyuj47CnOLgbSNbWIRhZxAJLovZpbzjjI3v+80an2A9OGfPfdpp82e1b/aO91M7ULkDvrjjad2QqPW4+TmuYduX3lvGsR+qLxHj+pcHCRoa9+x+ejsYi3Opu8mkS2X0JB+sy0XNd7HWJf4FqP4QcvLy6GQ/Ft/Fvy/OlGD/1x/VuBRaEAeqUxZmvLc+Amki+3K3qAOI1wt5LfaWKdz8ogdCfaRA7doWUomZRxTive22jAPZaZUY50OOv77R9sDsyobaPNxt/avE0laD1ftB4Q6ieIzz5eHgcstXaMW1O4Bup9M+Lr53n7qdJyroGH8IVtf2oQmALhS1PyAjHDi97q7g3mh5UqVekZz3Ji12t/zlIA3kUPuy9c7zcD5zf1wjuijxJEmAnFCEovHwFYwrgZHs3/exYfheFlB0HhoYFKOppi8eru5jTEZBa5Bn+taJG4fQAAVD1LhKel6lpotx4TqrNRfN6dVttmNn0/PyXFtJ0JiB0foKmYBvbi/PdrxJ5dWxYeBiExR0jIJ5mo8Gl7NO0WiQ6I3abOdO6EIagXYPKFcdaYNxEeWaDw2QM28cNM7RvMpQmSoloeX6RehzL5HChYZx5Tj2HO+o3KBxBRl/tMja+sDGRrGVRBHzrcbEb18jOirp9Qv0EgrxEffYj3qAHp2HGFOBRMgeHZlHgvYVmhPHrfdFlfbpXCTsXXY4m7pXjy+q4t4jPsdmU8ZDl2R3LYyp3ZShnTEPOmZp+8d54HUaKYGEXoc9acNt0YTiRYyfiw/e8p73Zp4TZfAUQ7pKWbiBAWadhmTweo2iaPDAwvIVGp8avOe3TwbSc5poP7Lw0tpi9XWe/kOwoZ6g32VlEKFrUCF2JLDNaspuUb4u4OMypB6F5yW5fiHXmUWlTXG4h4yMTrGNS88GsJ19nVb+IcYbkBtu43iM5ZNGdEAfDxBmCyhbq/mFrqiy0SL5g9Bv3e6K25wKdsIHwDDL4zu/wFlvSBfvY6rB8vL970A5pmIW/x9R//gBlFcnq1uwB/CqLC/w7WNw1aJKR8+CSoD5H4FUck0EeRPW/Mnt2g7hDFDdaupiUNYcvXyxlwycCJGgAOfxlVQsSptFqYaRIE6G0fXogi+j58xeBOXGB7tdJQMjv/R6bh0thFqUlTOLST2N7+SKkoUX/6FhrHEc4sodi+/nBxKoa9G7XR8SrU9FWolkE2AsS5qvbh13KsPRxrYMKWKe5NoTr+pYSmZPyPYjvRw6y2VwbM8ecLNxU258NIcrjmmYpSr5aE/SO36GLNuPp2R1iK1W1dO5xlvTMh7ixiM8dOzeMSLWG9pncS/8W+YdJyHGfBDH4i8dNTOhDmKSxFS+IKJxhs0IDjooadxCtzA58QCnC5JeI4lXIAxKqbQtMBbsJtxecVQHWYMs/Cf/DN4qE1ptH8MijUGxtjIA2Zbt0E3eza+t510HyqAUvHQeDZzsKGWih+JhCJLZRl6eNYnzobmJ2KAEdNQBAJL8YasnCYIwfj+xko8ApZwn2YhAp37NQl5rokGqV2mHsklBsNd58mg0SPI8ID+qkjA3yg3qNkD8V7ZRK01QisVvA3qpfmvtNc5bnPlvtEkcGXjIhK9poWZ80W1s4AhtvZwIPiCDUd21DWWGEfrZsSdzfJLyd2rUTe1xikwFOhPSJgo3KKkTANe2oV4H2qoUTZMje8xwizeZR8VA/mGfBxktrTC/ddsl/I816kpuRx4wIasj5q3jS64qnxJK62NAa17aZkHZZWagk0ibfho+WuHZcK2hXa5Sl2mbKxS74nF8i4q3mzFPy+t0m2d0TtsngnAIRFonhyzzuCnGhSav2ssD/aMslp21RTZ/RTYWgF2eiJj3Kwk/BIyZQKB7Hudt7JjfnpuZaN3/sLECT/zHRaY9DexNPKONbGowiZh3w9uQSXZV5EZ5Lh6LC7bi7LAZURIVMg4vsswhwgkIkzg+1g2w8ryR9rxPMO0tGXpHij3VEUk/tngqTjvlr7ZllepfVUk1EsPthD75QwI3OstF0ObZYm6klfulYCr82tqxHaFNCyxxYFSAij86nZKKZUfiLGsdyQSWn0P1TVaIiQQW+sUQu2Nu3MvCR0NBqlQl3rcCwk2XtIH8KLDcHJSxs8c461xqaQiLFGWDOokiwYod1hzR6Ztlrfm3QfzHATsmEYA/P3wXDsF7qYVRqgIXD5RRDqOzQw57liFwO5cel2WwuU2TmDAJZOOoDYzKZ7tIm255HN1Z9IhyQHNuhFHaTg+636ykAvHhyzjS+umVrClwP5flPAOUKRmgPt2eIl6qfnZmoqevKy6BaKI5GBuMpPqGnm9zVxyvKtwryMinlyKFaS+nIb0OS2ovhITj2WaGUsWYfwNupSbqJQe2tuiTFBz0ucd3RNsTo1mUhu4oc7v3tshWHFUdL6vJhtAxX33ErJs8ouBnX38/hGV6DLOy+ouhC+/TYZczmZs3rXz2VvfJvgnyD8BJQ4duJeZ5aSx81aRW4wL0qRsOTE8yyauUVsNkBYoltvIjRLWeXVGwlwxsMSt2qggu3v7xhXgBq5joaoehgTKw6c1ijewU+/xAOygE9i7ZErhGqKdFNOerMA9OQRLBX9FawJ5l0xhtwf8IYWdLjWArlyTXvy1GyNkBnIcCVSszT3sEJiOfzF3jlgMYS20U9wGZJb1kuNRhBcrxHLupmR6gxY23kZIkx2F6XqObnVaReV6kBAZRe1B3kbK1yWJ/D4xPPX6nXXp+5N1N+vHUZsZNqVM0OnVflXncAIl05+d98xxbzb8GJUhmmpejcT4BEfGQIqTUyQQV+NBJtXI+VpLGcddJ1CW+IvPUOFE048Jpkjyhl7r99NRu7ZWJyD7HYvqk+EvaMqQ+hfnTGcybt5k6jNzWLXe8WA21ZAW2aXVJ8c1HmiAB+oekt1of/UQOr8S8j9KH6LP98tHPtFKibcFzdjtuuFSV6PDR1ZnHxD+ONdHubSp5OcgWNYhk0QrX3DACx8lCJg3DPgY5LyWGVBQuZB50wOtnjXzugp08LKpk4P3xJwkUXiwaolpddeZ5Nn3averb4Re6WFwF3tKWQkyJJ8IzNhKzfo6CeRH3rA816YrSZgnE/9wtTZpgXKpSIcJPRcuJ/ZBhLK9QBtZKzJt68V4rugF5k0XV84T/fWhbFIhUjBB+DYwSFpTNETaN9ge6dNTzzvfw2Jm9Tw9zUv2TKmFqP5sauuAg/Agl3WSWHHrm77en8GnuvVBzAt8Cj7e58MpiBDCi/jQ8yCdg+DKWT9lEZIDOP49n8GFU4gL8r6qkDT3hyXyyHqkmQORWBS/TEHW6K5n6B6F0890uhhYA+1IDnuA4svOtzlXaer2miV+xSt56/VDZF+cWIOPlDfvW/C5g1UMQWfDkj+hpJxhvb9iAV+MXuKzN1qhRo0aNGjVq1KhRo0aNGjVq1KhRo0aNGjVq1Khxv/g/perM2PHChgoAAAAASUVORK5CYII="/>
        <xdr:cNvSpPr>
          <a:spLocks noChangeAspect="1" noChangeArrowheads="1"/>
        </xdr:cNvSpPr>
      </xdr:nvSpPr>
      <xdr:spPr bwMode="auto">
        <a:xfrm>
          <a:off x="3170296" y="1100667"/>
          <a:ext cx="304800" cy="305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5364"/>
    <xdr:sp macro="" textlink="">
      <xdr:nvSpPr>
        <xdr:cNvPr id="12" name="AutoShape 1" descr="data:image/png;base64,iVBORw0KGgoAAAANSUhEUgAAAbwAAABxCAMAAACZb+YzAAAAw1BMVEX///8AAD15gZTs7vEiP2dvepDK0NkzR2m/xtGQnK4AJVIUNmH09fcAIlD5+vsAH1Hg4ubX3OMAEEhsfJUTL1kAEEs/UHBIWHUAGkwMK1aYpLQAHU2Bj6QAF0qLlKamrbnl6OwgNlxbZ4DS1+AsRm2wt8PByNIAAENgb4lRYn6Bi52fqbkAK1l0g5oAFk0eO2Rtd4w7S2ovQmQAADQ5UnZKXn1CWXtdb4wAACxxeo5FVHGqtcREXH1VYnt6iqE6U3YAAEhIHpcNAAASa0lEQVR4nO1da3uquhJmFeUSEwRBJSIYqlhQUeup9Wzduz3//1cdbkKCXV0LtbsuH94vXCQXZ3KZmUwmHFejRo0aNWrUqFGjRo0aNWrUqFGjRo0aNb4AU3lQhkD/Lsjj76rahYAHmXx3Hb4YDjIMAy0zmIvoYVT8qr7iifDzxOdAUT9+z5PrlsNBue0Or5znrWEFcMNTMwg6wmbBvHnbHX2S9CyojdWQP3mrhcg/fXsheH35Sq6d6U1BABg1Yf6oI+vIL2UOelcYM6FKA3JkhsVSb1YOC9H5SY88v6AIjtnTLs32lqEMkWF7+SNv5D3Pc1fXmO+mP7oFnqSoRK+39Ogv4KAbXKEkjy5okZYwXK6v3qFvCeQR4FbePqHeyZin+p2rjJlkRCPpX9MGnlJfDEBwjf6hnhbEwS0YKFfI+2YhtQz0mD95/xkkV2WOX7+s0Y7sfjFKTsXu141tXvu+B07oWIY5OD7xXvpn1aAz/7o2+4KdY+Z809p9WTmRvGx7v/7qD4YWAOyS0sspML6wyXrd7XGWkxrLi2WVnwO+2QH5uuxvAJ6LwT/sKzjM/7T3PplMGjLkxvE1rDiWKnIjTnaI8oluGscebljZHZzZf6edUNvGX75ETQaukhKrFaQlibZRXt5LnE/W4TzTvutxk+MeMDZYWvE7M2eTtwJoTeKbjhFW7iWKYwAzHiThzDKco1Ki2w9p9lrfPspFWgOArRRzUtoi4MCPcvuknIMI0JZPkjdAY54lFxrL+x43OVXEoM80UDKxCup5bTCLiTLtNM+QYaCDzTmXcDGfWbm5nemQwmqZa33eEs3SXjjv7KqXJCNrnt4FKDy+1Lamc9fyJscdTAM80ORS25SlhZM7m6j5km1w1uyk+mBFov4woagodFqptuCZizxTpZH28GimAmd0F0lEenLDP+Ncb9QCS79z5nEBMAyJelY7JkU+6EeyvdJcfTx7KGPpBEy/Ge9tnVO3PqHyN60kfyibjeL10NokLNU2HzYTfnpaEPUzXCMjuTkYfv6S+FZQcQD+46C2cJtu7FrHpukyXlnNt/bxDS8faObAcCOW4LIGsIOLh+GWtqKQdto4+DeLsj9qmXFulIyznDKVp3SvGb+XyxEndDEDtxNXUQmXRVER817vnXncq/lIN3ZhyTCP8xYGzmes8bJHMwfqi1YJ7ZK5Swe4RxtVOLKwEtMHr1tbkr/lt1YzelJe0vzh0JzRrURolMtpLehMhWdLTy4US8na2t4784b2M0NcdtiMpQ0L5QwZW/2qC0UTxJrAIubJp8zjpkszyll6cpInOESzSnJLE2yi7x1avlTvf9gU2u6ceaEilnnTVxcvc0JCvqIMMMAuYiRVsjATAw4fWn+T4rXWsKPXu3zZAVaju+cao0hEobua+njvAgvpoRlLJiJatKKl9ZuHHtqmVOAJIdXoMV3JgwWm7dzETqVZOLReSPEaOuaEJ91M0I/KqagwiOiR8xhJdfxy56oCH6KgRCVeNynhEIaRVjY6znqHnR9Wslpo/R2nzDr0wDzugGROVeZmi55rpZYtvOF0ulV0PxhVI3xo7acPE2bybpj3raTPXVBeT1NG9mtBA9n1YlqiTUJVVe7uq8x5xH/VYku3Scn/I3uSslJCS7ohRGqZv3rMOCZtu3I15qlPbjCR6UHEazfu2jw27dmFbQxK0+S/T9so7yhznDiDkAXuJ0xWn/oVFk/hrJW0fW+BCvXrzcwEGEFkzVcyMKxDdq84VZnHvWLMSMJ8aF/fv+KGQPylXrRV9TUdLqO3w4xwUcdMmMcvMNjGJK/EPKLjVHGQouS54PduZ5Os6pshzSBpA1bHe1idebLFGkVJ466XhKDTfifFo9DR0yfvKF062HVxJLtPN67rGrHVvwrz4KvhupH8rxyibFwcZKV0G0eaDqwlTW2l2c3l3jOYx7cbtH6qyJ3zTHp/CKR2gxpnlOEys3HyTfvtJ0mqDZsfQbdycWjc79B9Q1kvcl6ew7wGo5Foq9Y9dzytAd4IfwTxDHQ0UAu9rvRxmouZp5qrgqYD3KI45LnU/FudeUOXrjPvV9Ty/yzAALn+7OEI38AonzOi6Uf6kHaXMo/3rTdIPS0LTYz4E1JUrjLzNOTT2qluhuSn3/75kC0j4lcOgA2rcLcStsD5SM6+kHn80HxkxrZJ4uKlDLxojkKU50wl5pGoqtDHlBejt106d9zvuDHqdkr4UayYcmQwKTvIxhC6+wuYpzURvTgUQX0B0egGNys5dOmflGHn960j2rI/9M23/HveMfzpXVs1FfUEGt1YFV47Fdak965Z2TJ9BB+6i3mZpnzY7s3JswmWzLrREHfQ8Hfpr7Ut6ymgX4zvmnVnQvMkySNnJib6CeuS128yP9f1A/Nbstr6u12PH+r69Nef1ahRQCGaFg9PUBsL5LsrU6Ma4GErrnac5oiLdkVvxRrfDjLfoK0QvIjA+plVowT+ZEPr4HDXy1Y3DPIPeNmNVM1/+k3maU9mCctJLVx9D/hHYMT2WNX7TQWKvA3LuO8F4xtGxLzGd9ehxpngH5F4xeyE//6ocQb+e9YSxJWZp/71UOMM/HWW3agy8+BYGLMQ7tpV45ZRmXnqS6+MXS2wfA9o5sEISnJROCV+iFQAJXuZQ21MGiX8XTPve0AxD056+95QUV72z4FKNvt9z1e5cWPfY7yiFP4U31HxGmzPU18TbzW168fmzoX5V8wV2BF/4pNQ47uhBoXDG6eJS4mD+iOJH+bdxKNGXTiXlhF7qX/QX2tQOMdIxcsuQiNyfJTchSa/p6MkWST7DR3x4hhBux9PT8tVeaasQaFVNVxCjOm62Wyuj47CnOLgbSNbWIRhZxAJLovZpbzjjI3v+80an2A9OGfPfdpp82e1b/aO91M7ULkDvrjjad2QqPW4+TmuYduX3lvGsR+qLxHj+pcHCRoa9+x+ejsYi3Opu8mkS2X0JB+sy0XNd7HWJf4FqP4QcvLy6GQ/Ft/Fvy/OlGD/1x/VuBRaEAeqUxZmvLc+Amki+3K3qAOI1wt5LfaWKdz8ogdCfaRA7doWUomZRxTive22jAPZaZUY50OOv77R9sDsyobaPNxt/avE0laD1ftB4Q6ieIzz5eHgcstXaMW1O4Bup9M+Lr53n7qdJyroGH8IVtf2oQmALhS1PyAjHDi97q7g3mh5UqVekZz3Ji12t/zlIA3kUPuy9c7zcD5zf1wjuijxJEmAnFCEovHwFYwrgZHs3/exYfheFlB0HhoYFKOppi8eru5jTEZBa5Bn+taJG4fQAAVD1LhKel6lpotx4TqrNRfN6dVttmNn0/PyXFtJ0JiB0foKmYBvbi/PdrxJ5dWxYeBiExR0jIJ5mo8Gl7NO0WiQ6I3abOdO6EIagXYPKFcdaYNxEeWaDw2QM28cNM7RvMpQmSoloeX6RehzL5HChYZx5Tj2HO+o3KBxBRl/tMja+sDGRrGVRBHzrcbEb18jOirp9Qv0EgrxEffYj3qAHp2HGFOBRMgeHZlHgvYVmhPHrfdFlfbpXCTsXXY4m7pXjy+q4t4jPsdmU8ZDl2R3LYyp3ZShnTEPOmZp+8d54HUaKYGEXoc9acNt0YTiRYyfiw/e8p73Zp4TZfAUQ7pKWbiBAWadhmTweo2iaPDAwvIVGp8avOe3TwbSc5poP7Lw0tpi9XWe/kOwoZ6g32VlEKFrUCF2JLDNaspuUb4u4OMypB6F5yW5fiHXmUWlTXG4h4yMTrGNS88GsJ19nVb+IcYbkBtu43iM5ZNGdEAfDxBmCyhbq/mFrqiy0SL5g9Bv3e6K25wKdsIHwDDL4zu/wFlvSBfvY6rB8vL970A5pmIW/x9R//gBlFcnq1uwB/CqLC/w7WNw1aJKR8+CSoD5H4FUck0EeRPW/Mnt2g7hDFDdaupiUNYcvXyxlwycCJGgAOfxlVQsSptFqYaRIE6G0fXogi+j58xeBOXGB7tdJQMjv/R6bh0thFqUlTOLST2N7+SKkoUX/6FhrHEc4sodi+/nBxKoa9G7XR8SrU9FWolkE2AsS5qvbh13KsPRxrYMKWKe5NoTr+pYSmZPyPYjvRw6y2VwbM8ecLNxU258NIcrjmmYpSr5aE/SO36GLNuPp2R1iK1W1dO5xlvTMh7ixiM8dOzeMSLWG9pncS/8W+YdJyHGfBDH4i8dNTOhDmKSxFS+IKJxhs0IDjooadxCtzA58QCnC5JeI4lXIAxKqbQtMBbsJtxecVQHWYMs/Cf/DN4qE1ptH8MijUGxtjIA2Zbt0E3eza+t510HyqAUvHQeDZzsKGWih+JhCJLZRl6eNYnzobmJ2KAEdNQBAJL8YasnCYIwfj+xko8ApZwn2YhAp37NQl5rokGqV2mHsklBsNd58mg0SPI8ID+qkjA3yg3qNkD8V7ZRK01QisVvA3qpfmvtNc5bnPlvtEkcGXjIhK9poWZ80W1s4AhtvZwIPiCDUd21DWWGEfrZsSdzfJLyd2rUTe1xikwFOhPSJgo3KKkTANe2oV4H2qoUTZMje8xwizeZR8VA/mGfBxktrTC/ddsl/I816kpuRx4wIasj5q3jS64qnxJK62NAa17aZkHZZWagk0ibfho+WuHZcK2hXa5Sl2mbKxS74nF8i4q3mzFPy+t0m2d0TtsngnAIRFonhyzzuCnGhSav2ssD/aMslp21RTZ/RTYWgF2eiJj3Kwk/BIyZQKB7Hudt7JjfnpuZaN3/sLECT/zHRaY9DexNPKONbGowiZh3w9uQSXZV5EZ5Lh6LC7bi7LAZURIVMg4vsswhwgkIkzg+1g2w8ryR9rxPMO0tGXpHij3VEUk/tngqTjvlr7ZllepfVUk1EsPthD75QwI3OstF0ObZYm6klfulYCr82tqxHaFNCyxxYFSAij86nZKKZUfiLGsdyQSWn0P1TVaIiQQW+sUQu2Nu3MvCR0NBqlQl3rcCwk2XtIH8KLDcHJSxs8c461xqaQiLFGWDOokiwYod1hzR6Ztlrfm3QfzHATsmEYA/P3wXDsF7qYVRqgIXD5RRDqOzQw57liFwO5cel2WwuU2TmDAJZOOoDYzKZ7tIm255HN1Z9IhyQHNuhFHaTg+636ykAvHhyzjS+umVrClwP5flPAOUKRmgPt2eIl6qfnZmoqevKy6BaKI5GBuMpPqGnm9zVxyvKtwryMinlyKFaS+nIb0OS2ovhITj2WaGUsWYfwNupSbqJQe2tuiTFBz0ucd3RNsTo1mUhu4oc7v3tshWHFUdL6vJhtAxX33ErJs8ouBnX38/hGV6DLOy+ouhC+/TYZczmZs3rXz2VvfJvgnyD8BJQ4duJeZ5aSx81aRW4wL0qRsOTE8yyauUVsNkBYoltvIjRLWeXVGwlwxsMSt2qggu3v7xhXgBq5joaoehgTKw6c1ijewU+/xAOygE9i7ZErhGqKdFNOerMA9OQRLBX9FawJ5l0xhtwf8IYWdLjWArlyTXvy1GyNkBnIcCVSszT3sEJiOfzF3jlgMYS20U9wGZJb1kuNRhBcrxHLupmR6gxY23kZIkx2F6XqObnVaReV6kBAZRe1B3kbK1yWJ/D4xPPX6nXXp+5N1N+vHUZsZNqVM0OnVflXncAIl05+d98xxbzb8GJUhmmpejcT4BEfGQIqTUyQQV+NBJtXI+VpLGcddJ1CW+IvPUOFE048Jpkjyhl7r99NRu7ZWJyD7HYvqk+EvaMqQ+hfnTGcybt5k6jNzWLXe8WA21ZAW2aXVJ8c1HmiAB+oekt1of/UQOr8S8j9KH6LP98tHPtFKibcFzdjtuuFSV6PDR1ZnHxD+ONdHubSp5OcgWNYhk0QrX3DACx8lCJg3DPgY5LyWGVBQuZB50wOtnjXzugp08LKpk4P3xJwkUXiwaolpddeZ5Nn3averb4Re6WFwF3tKWQkyJJ8IzNhKzfo6CeRH3rA816YrSZgnE/9wtTZpgXKpSIcJPRcuJ/ZBhLK9QBtZKzJt68V4rugF5k0XV84T/fWhbFIhUjBB+DYwSFpTNETaN9ge6dNTzzvfw2Jm9Tw9zUv2TKmFqP5sauuAg/Agl3WSWHHrm77en8GnuvVBzAt8Cj7e58MpiBDCi/jQ8yCdg+DKWT9lEZIDOP49n8GFU4gL8r6qkDT3hyXyyHqkmQORWBS/TEHW6K5n6B6F0890uhhYA+1IDnuA4svOtzlXaer2miV+xSt56/VDZF+cWIOPlDfvW/C5g1UMQWfDkj+hpJxhvb9iAV+MXuKzN1qhRo0aNGjVq1KhRo0aNGjVq1KhRo0aNGjVq1Khxv/g/perM2PHChgoAAAAASUVORK5CYII="/>
        <xdr:cNvSpPr>
          <a:spLocks noChangeAspect="1" noChangeArrowheads="1"/>
        </xdr:cNvSpPr>
      </xdr:nvSpPr>
      <xdr:spPr bwMode="auto">
        <a:xfrm>
          <a:off x="3170296" y="1100667"/>
          <a:ext cx="304800" cy="305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I21"/>
  <sheetViews>
    <sheetView tabSelected="1" topLeftCell="B9" zoomScale="162" workbookViewId="0">
      <selection activeCell="I21" sqref="I21"/>
    </sheetView>
  </sheetViews>
  <sheetFormatPr defaultRowHeight="14.4" x14ac:dyDescent="0.3"/>
  <cols>
    <col min="4" max="4" width="10.5546875" bestFit="1" customWidth="1"/>
  </cols>
  <sheetData>
    <row r="5" spans="3:9" x14ac:dyDescent="0.3">
      <c r="C5" t="s">
        <v>3</v>
      </c>
      <c r="D5" t="s">
        <v>2</v>
      </c>
    </row>
    <row r="6" spans="3:9" x14ac:dyDescent="0.3">
      <c r="C6" s="1" t="s">
        <v>0</v>
      </c>
      <c r="D6" s="1" t="s">
        <v>1</v>
      </c>
    </row>
    <row r="7" spans="3:9" x14ac:dyDescent="0.3">
      <c r="C7" s="1">
        <v>10</v>
      </c>
      <c r="D7" s="1">
        <v>11</v>
      </c>
      <c r="E7">
        <f>C7-$C$12</f>
        <v>-8</v>
      </c>
      <c r="F7">
        <f>D7-$D$12</f>
        <v>5.4</v>
      </c>
      <c r="G7">
        <f>E7*F7</f>
        <v>-43.2</v>
      </c>
      <c r="H7">
        <f>E7*E7</f>
        <v>64</v>
      </c>
      <c r="I7">
        <f>F7*F7</f>
        <v>29.160000000000004</v>
      </c>
    </row>
    <row r="8" spans="3:9" x14ac:dyDescent="0.3">
      <c r="C8" s="1">
        <v>19</v>
      </c>
      <c r="D8" s="1">
        <v>12</v>
      </c>
      <c r="E8">
        <f t="shared" ref="E8:E11" si="0">C8-$C$12</f>
        <v>1</v>
      </c>
      <c r="F8">
        <f t="shared" ref="F8:F11" si="1">D8-$D$12</f>
        <v>6.4</v>
      </c>
      <c r="G8">
        <f t="shared" ref="G8:G11" si="2">E8*F8</f>
        <v>6.4</v>
      </c>
      <c r="H8">
        <f t="shared" ref="H8:I11" si="3">E8*E8</f>
        <v>1</v>
      </c>
      <c r="I8">
        <f t="shared" si="3"/>
        <v>40.960000000000008</v>
      </c>
    </row>
    <row r="9" spans="3:9" x14ac:dyDescent="0.3">
      <c r="C9" s="1">
        <v>23</v>
      </c>
      <c r="D9" s="1">
        <v>2</v>
      </c>
      <c r="E9">
        <f t="shared" si="0"/>
        <v>5</v>
      </c>
      <c r="F9">
        <f t="shared" si="1"/>
        <v>-3.5999999999999996</v>
      </c>
      <c r="G9">
        <f t="shared" si="2"/>
        <v>-18</v>
      </c>
      <c r="H9">
        <f t="shared" si="3"/>
        <v>25</v>
      </c>
      <c r="I9">
        <f t="shared" si="3"/>
        <v>12.959999999999997</v>
      </c>
    </row>
    <row r="10" spans="3:9" x14ac:dyDescent="0.3">
      <c r="C10" s="1">
        <v>27</v>
      </c>
      <c r="D10" s="1">
        <v>1</v>
      </c>
      <c r="E10">
        <f t="shared" si="0"/>
        <v>9</v>
      </c>
      <c r="F10">
        <f t="shared" si="1"/>
        <v>-4.5999999999999996</v>
      </c>
      <c r="G10">
        <f t="shared" si="2"/>
        <v>-41.4</v>
      </c>
      <c r="H10">
        <f t="shared" si="3"/>
        <v>81</v>
      </c>
      <c r="I10">
        <f t="shared" si="3"/>
        <v>21.159999999999997</v>
      </c>
    </row>
    <row r="11" spans="3:9" x14ac:dyDescent="0.3">
      <c r="C11" s="1">
        <v>11</v>
      </c>
      <c r="D11" s="1">
        <v>2</v>
      </c>
      <c r="E11">
        <f t="shared" si="0"/>
        <v>-7</v>
      </c>
      <c r="F11">
        <f t="shared" si="1"/>
        <v>-3.5999999999999996</v>
      </c>
      <c r="G11">
        <f t="shared" si="2"/>
        <v>25.199999999999996</v>
      </c>
      <c r="H11">
        <f t="shared" si="3"/>
        <v>49</v>
      </c>
      <c r="I11">
        <f t="shared" si="3"/>
        <v>12.959999999999997</v>
      </c>
    </row>
    <row r="12" spans="3:9" x14ac:dyDescent="0.3">
      <c r="C12">
        <f>AVERAGE(C7:C11)</f>
        <v>18</v>
      </c>
      <c r="D12">
        <f>AVERAGE(D7:D11)</f>
        <v>5.6</v>
      </c>
      <c r="G12">
        <f>SUM(G7:G11)</f>
        <v>-71</v>
      </c>
      <c r="H12">
        <f>SUM(H7:H11)</f>
        <v>220</v>
      </c>
      <c r="I12">
        <f>SUM(I7:I11)</f>
        <v>117.19999999999999</v>
      </c>
    </row>
    <row r="13" spans="3:9" x14ac:dyDescent="0.3">
      <c r="I13">
        <f>H12*I12</f>
        <v>25783.999999999996</v>
      </c>
    </row>
    <row r="14" spans="3:9" x14ac:dyDescent="0.3">
      <c r="I14">
        <f>G12/SQRT(I13)</f>
        <v>-0.4421638188422285</v>
      </c>
    </row>
    <row r="18" spans="6:9" x14ac:dyDescent="0.3">
      <c r="F18" s="1"/>
      <c r="G18" s="1" t="s">
        <v>4</v>
      </c>
      <c r="H18" s="1" t="s">
        <v>5</v>
      </c>
      <c r="I18" s="1" t="s">
        <v>6</v>
      </c>
    </row>
    <row r="19" spans="6:9" x14ac:dyDescent="0.3">
      <c r="F19" s="1" t="s">
        <v>4</v>
      </c>
      <c r="G19" s="1">
        <v>1</v>
      </c>
      <c r="H19" s="1">
        <v>0.68</v>
      </c>
      <c r="I19" s="1">
        <v>0.28000000000000003</v>
      </c>
    </row>
    <row r="20" spans="6:9" x14ac:dyDescent="0.3">
      <c r="F20" s="1" t="s">
        <v>5</v>
      </c>
      <c r="G20" s="1">
        <v>0.68</v>
      </c>
      <c r="H20" s="1">
        <v>1</v>
      </c>
      <c r="I20" s="1">
        <v>0.28000000000000003</v>
      </c>
    </row>
    <row r="21" spans="6:9" x14ac:dyDescent="0.3">
      <c r="F21" s="1" t="s">
        <v>6</v>
      </c>
      <c r="G21" s="1">
        <v>0.28000000000000003</v>
      </c>
      <c r="H21" s="1">
        <v>0.28000000000000003</v>
      </c>
      <c r="I21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2025-08-14T04:27:44Z</dcterms:created>
  <dcterms:modified xsi:type="dcterms:W3CDTF">2025-08-14T07:30:25Z</dcterms:modified>
</cp:coreProperties>
</file>